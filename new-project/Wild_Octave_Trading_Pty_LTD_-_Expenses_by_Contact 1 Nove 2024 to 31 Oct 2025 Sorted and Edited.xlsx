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ugsacer\Sync\Health food shop\Vendors\"/>
    </mc:Choice>
  </mc:AlternateContent>
  <xr:revisionPtr revIDLastSave="0" documentId="13_ncr:1_{FEC28E9C-6E0E-430A-BFD4-FE7CECDBB0DB}" xr6:coauthVersionLast="47" xr6:coauthVersionMax="47" xr10:uidLastSave="{00000000-0000-0000-0000-000000000000}"/>
  <bookViews>
    <workbookView xWindow="216" yWindow="2100" windowWidth="22608" windowHeight="11460" activeTab="1" xr2:uid="{00000000-000D-0000-FFFF-FFFF00000000}"/>
  </bookViews>
  <sheets>
    <sheet name="Expenses by Contact All" sheetId="1" r:id="rId1"/>
    <sheet name="Vendors" sheetId="2" r:id="rId2"/>
    <sheet name="Others" sheetId="3" r:id="rId3"/>
    <sheet name="United Org" sheetId="4" r:id="rId4"/>
  </sheets>
  <calcPr calcId="191029"/>
</workbook>
</file>

<file path=xl/calcChain.xml><?xml version="1.0" encoding="utf-8"?>
<calcChain xmlns="http://schemas.openxmlformats.org/spreadsheetml/2006/main">
  <c r="E112" i="2" l="1"/>
  <c r="E100" i="2"/>
  <c r="E97" i="2"/>
  <c r="E95" i="2"/>
  <c r="E94" i="2"/>
  <c r="E93" i="2"/>
  <c r="E92" i="2"/>
  <c r="E91" i="2"/>
  <c r="E90" i="2"/>
  <c r="E88" i="2"/>
  <c r="E87" i="2"/>
  <c r="E85" i="2"/>
  <c r="E84" i="2"/>
  <c r="E82" i="2"/>
  <c r="E81" i="2"/>
  <c r="E78" i="2"/>
  <c r="E75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6" i="2"/>
  <c r="E57" i="2"/>
  <c r="E55" i="2"/>
  <c r="E54" i="2"/>
  <c r="E51" i="2"/>
  <c r="E49" i="2"/>
  <c r="E42" i="2"/>
  <c r="E41" i="2"/>
  <c r="E40" i="2"/>
  <c r="E39" i="2"/>
  <c r="E38" i="2"/>
  <c r="E37" i="2"/>
  <c r="E34" i="2"/>
  <c r="E33" i="2"/>
  <c r="E32" i="2"/>
  <c r="E31" i="2"/>
  <c r="E30" i="2"/>
  <c r="E29" i="2"/>
  <c r="E28" i="2"/>
  <c r="E27" i="2"/>
  <c r="E25" i="2"/>
  <c r="E24" i="2"/>
  <c r="E22" i="2"/>
  <c r="E23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B284" i="1"/>
</calcChain>
</file>

<file path=xl/sharedStrings.xml><?xml version="1.0" encoding="utf-8"?>
<sst xmlns="http://schemas.openxmlformats.org/spreadsheetml/2006/main" count="1194" uniqueCount="367">
  <si>
    <t>Expenses by Contact</t>
  </si>
  <si>
    <t>Wild Octave Trading Pty LTD</t>
  </si>
  <si>
    <t>For the period 1 November 2024 to 31 October 2025</t>
  </si>
  <si>
    <t>Type contains Expense</t>
  </si>
  <si>
    <t>Total</t>
  </si>
  <si>
    <t>AAMI Insurance</t>
  </si>
  <si>
    <t>Absoulutely Wholesale</t>
  </si>
  <si>
    <t>African Queen Baskets Imports</t>
  </si>
  <si>
    <t>Aldi Mobile</t>
  </si>
  <si>
    <t>Alejandra Garrido Becerra</t>
  </si>
  <si>
    <t>All Good Foods</t>
  </si>
  <si>
    <t>Almond Road</t>
  </si>
  <si>
    <t>Amazon</t>
  </si>
  <si>
    <t>Amazon Marketplace</t>
  </si>
  <si>
    <t>Amazon Prime</t>
  </si>
  <si>
    <t>Amore</t>
  </si>
  <si>
    <t>Ampol Foodary Brunswick Heads</t>
  </si>
  <si>
    <t>Ariya Health</t>
  </si>
  <si>
    <t>Arts Factory</t>
  </si>
  <si>
    <t>ASIC</t>
  </si>
  <si>
    <t>Aussie Broadband</t>
  </si>
  <si>
    <t>Austral Herbs</t>
  </si>
  <si>
    <t>AUSTRALIA POST</t>
  </si>
  <si>
    <t>Australian Taxation Office</t>
  </si>
  <si>
    <t>Avery Products</t>
  </si>
  <si>
    <t>Ballina Fair News</t>
  </si>
  <si>
    <t>Ballina Waste Centre</t>
  </si>
  <si>
    <t>Barambah Organics Pty Ltd</t>
  </si>
  <si>
    <t>Beach &amp; Bush Distributors Pty Ltd</t>
  </si>
  <si>
    <t>Becci Zillig</t>
  </si>
  <si>
    <t>Better Food Distribution Company</t>
  </si>
  <si>
    <t>Bhant Solutions</t>
  </si>
  <si>
    <t>Big W</t>
  </si>
  <si>
    <t>Billinudgel Picture Framing</t>
  </si>
  <si>
    <t>Binx Designs</t>
  </si>
  <si>
    <t>Bio Living International Pty Ltd</t>
  </si>
  <si>
    <t>BioVeda</t>
  </si>
  <si>
    <t>Blazon Displays</t>
  </si>
  <si>
    <t>Blue Bay Gourmet</t>
  </si>
  <si>
    <t>Blue Lily Healing Pty Ltd</t>
  </si>
  <si>
    <t>Body Mind Connect</t>
  </si>
  <si>
    <t>Brahmbucha Australia</t>
  </si>
  <si>
    <t>Brambucha</t>
  </si>
  <si>
    <t>Bread Social</t>
  </si>
  <si>
    <t>BRIDGLANDS BETTA</t>
  </si>
  <si>
    <t>Brumby Sunstate</t>
  </si>
  <si>
    <t>Bruns Bakery</t>
  </si>
  <si>
    <t>Brunswick Heads Chamber Of Commerce Inc</t>
  </si>
  <si>
    <t>Brunswick Heads IGA</t>
  </si>
  <si>
    <t>Brunswick Heads Laundry</t>
  </si>
  <si>
    <t>Brunswick Heads Pharmacy</t>
  </si>
  <si>
    <t>BRUNSWICK HOTEL OPCO</t>
  </si>
  <si>
    <t>Brunswick Village Greens</t>
  </si>
  <si>
    <t>Brunswickheads Valley Milk Distributors</t>
  </si>
  <si>
    <t>Bunnings</t>
  </si>
  <si>
    <t>Byron Bay Chocolates</t>
  </si>
  <si>
    <t>Byron Brownies</t>
  </si>
  <si>
    <t>Byron Gourmet Pies</t>
  </si>
  <si>
    <t>Byron Organic Kitchen</t>
  </si>
  <si>
    <t>Byron Resource Recovery Centre</t>
  </si>
  <si>
    <t>Byron Shire Council</t>
  </si>
  <si>
    <t>BYRON SHIRE COUNCIL MYOCUM</t>
  </si>
  <si>
    <t>Caitlyn Graham</t>
  </si>
  <si>
    <t>Carmen Williams</t>
  </si>
  <si>
    <t>Cartel &amp; Co Pty</t>
  </si>
  <si>
    <t>Cash Deposit</t>
  </si>
  <si>
    <t>CAV Security Group</t>
  </si>
  <si>
    <t>Celebrations by Liz Jackson</t>
  </si>
  <si>
    <t>Charlotte Ivey</t>
  </si>
  <si>
    <t>Chilli Mamet</t>
  </si>
  <si>
    <t>Citrus Bliss Icy Poles</t>
  </si>
  <si>
    <t>Club AV</t>
  </si>
  <si>
    <t>Club Betta</t>
  </si>
  <si>
    <t>Coles Supermarkets</t>
  </si>
  <si>
    <t>Companion Animals w</t>
  </si>
  <si>
    <t>COMPANION ANIMALS WELF</t>
  </si>
  <si>
    <t>Complete Health Products</t>
  </si>
  <si>
    <t>Coral Foods</t>
  </si>
  <si>
    <t>D.D.D</t>
  </si>
  <si>
    <t>Dancourt Organics</t>
  </si>
  <si>
    <t>Dolphin Office Choice</t>
  </si>
  <si>
    <t>Doughboy Bread</t>
  </si>
  <si>
    <t>Dream Of Eden Organles</t>
  </si>
  <si>
    <t>Earth Labs</t>
  </si>
  <si>
    <t>eBev</t>
  </si>
  <si>
    <t>Eco Farms</t>
  </si>
  <si>
    <t>Eco Minerals</t>
  </si>
  <si>
    <t>EG Group</t>
  </si>
  <si>
    <t>Eggs</t>
  </si>
  <si>
    <t>Elders Brunswick Heads Real Estate</t>
  </si>
  <si>
    <t>Eleonora Paganini</t>
  </si>
  <si>
    <t>Elkmist</t>
  </si>
  <si>
    <t>Empyrean Business Consulting</t>
  </si>
  <si>
    <t>Ere Perez Pty Ltd</t>
  </si>
  <si>
    <t>Food Culture Bulk Foods</t>
  </si>
  <si>
    <t>Full Moon Health</t>
  </si>
  <si>
    <t>Getontoit Pty Ltd</t>
  </si>
  <si>
    <t>Go Vita Ballina</t>
  </si>
  <si>
    <t>Good n Natural</t>
  </si>
  <si>
    <t>Google Australia</t>
  </si>
  <si>
    <t>Grasses of Life</t>
  </si>
  <si>
    <t>Great Spirit</t>
  </si>
  <si>
    <t>Green For Youth</t>
  </si>
  <si>
    <t>Green Pack</t>
  </si>
  <si>
    <t>Hanna Matthews</t>
  </si>
  <si>
    <t>Happy Flame Pty Ltd</t>
  </si>
  <si>
    <t>Harv Co</t>
  </si>
  <si>
    <t>Haven Botanical</t>
  </si>
  <si>
    <t>Heaps Good Food Store</t>
  </si>
  <si>
    <t>Heart Heart Heart</t>
  </si>
  <si>
    <t>Heath Jansse</t>
  </si>
  <si>
    <t>Helen Blair Distribution</t>
  </si>
  <si>
    <t>Hemp Collective</t>
  </si>
  <si>
    <t>Herbal Connection</t>
  </si>
  <si>
    <t>Holy Smoke Eco Incense</t>
  </si>
  <si>
    <t>Home Grown Hemp</t>
  </si>
  <si>
    <t>Honey</t>
  </si>
  <si>
    <t>Honeyvale Farm</t>
  </si>
  <si>
    <t>Horizon Foods</t>
  </si>
  <si>
    <t>House In Tweed City</t>
  </si>
  <si>
    <t>Huonbrook Honey</t>
  </si>
  <si>
    <t>iCare Workers Insurance</t>
  </si>
  <si>
    <t>Ice Blocks ! Pty Ltd</t>
  </si>
  <si>
    <t>IGA</t>
  </si>
  <si>
    <t>Ikea</t>
  </si>
  <si>
    <t>Incense Of The World</t>
  </si>
  <si>
    <t>Ink Station</t>
  </si>
  <si>
    <t>Inner Self Guidance Cards</t>
  </si>
  <si>
    <t>Itchgoes</t>
  </si>
  <si>
    <t>Jackie Willis</t>
  </si>
  <si>
    <t>James Hardware And Electrical</t>
  </si>
  <si>
    <t>JB Hi-Fi</t>
  </si>
  <si>
    <t>Jen Harkness Art</t>
  </si>
  <si>
    <t>Jojoba Company</t>
  </si>
  <si>
    <t>Kasundi</t>
  </si>
  <si>
    <t>KEERS ROBERT WILLIAM</t>
  </si>
  <si>
    <t>Kellys Distributors</t>
  </si>
  <si>
    <t>KeySun Laboratories</t>
  </si>
  <si>
    <t>Kijai Kitchen</t>
  </si>
  <si>
    <t>Kmart</t>
  </si>
  <si>
    <t>Knox &amp; Aya</t>
  </si>
  <si>
    <t>Kut &amp; Roll Painting</t>
  </si>
  <si>
    <t>Lady Of The Sun</t>
  </si>
  <si>
    <t>Laundry</t>
  </si>
  <si>
    <t>Lifecykel Labs Pty Ltd</t>
  </si>
  <si>
    <t>Lisa Rose Whiting</t>
  </si>
  <si>
    <t>Little Valley Distribution</t>
  </si>
  <si>
    <t>Loco Love Pty Ltd</t>
  </si>
  <si>
    <t>Lomax</t>
  </si>
  <si>
    <t>Lulu's Cafe</t>
  </si>
  <si>
    <t>Madison Dowas</t>
  </si>
  <si>
    <t>Madison Downs Garlic</t>
  </si>
  <si>
    <t>Main Arm Mechanical</t>
  </si>
  <si>
    <t>Malu Barton</t>
  </si>
  <si>
    <t>Maor Josef Fesintein</t>
  </si>
  <si>
    <t>Maple Moon</t>
  </si>
  <si>
    <t>Martin &amp; Pleasance Wholesale</t>
  </si>
  <si>
    <t>Matunda Fruits</t>
  </si>
  <si>
    <t>McPherson's Consumer Products Pty Ltd</t>
  </si>
  <si>
    <t>Menz Refrigerated Transport</t>
  </si>
  <si>
    <t>Merchant Warrior</t>
  </si>
  <si>
    <t>Metagenics (Aust) Pty Ltd</t>
  </si>
  <si>
    <t>MICHELLE ANNE KERLIN</t>
  </si>
  <si>
    <t>Mick Sawtell Electrical</t>
  </si>
  <si>
    <t>Milk</t>
  </si>
  <si>
    <t>Miscellaneous Purchase</t>
  </si>
  <si>
    <t>Miss Gigi's Organic Kitchen</t>
  </si>
  <si>
    <t>Mitre10 Mullumbimby</t>
  </si>
  <si>
    <t>MOA Electrical Services</t>
  </si>
  <si>
    <t>Moonface Maddy</t>
  </si>
  <si>
    <t>Moontime Diary</t>
  </si>
  <si>
    <t>MSI</t>
  </si>
  <si>
    <t>Mt Chowan Organic Farm</t>
  </si>
  <si>
    <t>Mullum Mandala</t>
  </si>
  <si>
    <t>Mullum Variety</t>
  </si>
  <si>
    <t>Mullumbimby Newsagency</t>
  </si>
  <si>
    <t>Mullumbimby Refrigeration Services</t>
  </si>
  <si>
    <t>Mullumbimby Rural Co-op</t>
  </si>
  <si>
    <t>MV Fuel</t>
  </si>
  <si>
    <t>My Matcha Co.</t>
  </si>
  <si>
    <t>Naclo Health Products</t>
  </si>
  <si>
    <t>Natraspray Murwillumbah</t>
  </si>
  <si>
    <t>Natraspray Pest Control</t>
  </si>
  <si>
    <t>Nature's Gold</t>
  </si>
  <si>
    <t>Naturis Organic Breads</t>
  </si>
  <si>
    <t>Nice Feilds Farm</t>
  </si>
  <si>
    <t>Nimbin Candles</t>
  </si>
  <si>
    <t>Nisbits</t>
  </si>
  <si>
    <t>North Coast Petroleum</t>
  </si>
  <si>
    <t>North Wall Brewing Co</t>
  </si>
  <si>
    <t>NRMA Insurance</t>
  </si>
  <si>
    <t>Oborne Health Supplies</t>
  </si>
  <si>
    <t>Ocean Shores Coles</t>
  </si>
  <si>
    <t>Officeworks</t>
  </si>
  <si>
    <t>Old Maids</t>
  </si>
  <si>
    <t>Ora Health</t>
  </si>
  <si>
    <t>OTTILIES Mullumbimby</t>
  </si>
  <si>
    <t>Paddock Work Ready</t>
  </si>
  <si>
    <t>PHIMPHAN CUISINE</t>
  </si>
  <si>
    <t>Pink Lotus</t>
  </si>
  <si>
    <t>Popcar</t>
  </si>
  <si>
    <t>Portabellow Viintage Wares</t>
  </si>
  <si>
    <t>Prime Provisions</t>
  </si>
  <si>
    <t>Print Rescue</t>
  </si>
  <si>
    <t>Puremelt Chocolate</t>
  </si>
  <si>
    <t>QBE Insurance</t>
  </si>
  <si>
    <t>Rainbow Living Probiotics</t>
  </si>
  <si>
    <t>RAS Investments</t>
  </si>
  <si>
    <t>Rebecca Hegeman</t>
  </si>
  <si>
    <t>Reflect Electrical</t>
  </si>
  <si>
    <t>Refund</t>
  </si>
  <si>
    <t>Sacha Phoenix</t>
  </si>
  <si>
    <t>Sacred Earth Medicine Pty Ltd</t>
  </si>
  <si>
    <t>Sacred Moon Rites</t>
  </si>
  <si>
    <t>Sacredflower</t>
  </si>
  <si>
    <t>Saint Maries</t>
  </si>
  <si>
    <t>Salt Mill</t>
  </si>
  <si>
    <t>Santos Organics</t>
  </si>
  <si>
    <t>Satiated Pty Ltd</t>
  </si>
  <si>
    <t>Science and Nonduality</t>
  </si>
  <si>
    <t>Secret States</t>
  </si>
  <si>
    <t>Service NSW</t>
  </si>
  <si>
    <t>Service Plants Australia</t>
  </si>
  <si>
    <t>Sherwood Creek Organics</t>
  </si>
  <si>
    <t>Shop Sales</t>
  </si>
  <si>
    <t>Shopfittings Store Pty Ltd</t>
  </si>
  <si>
    <t>Silver Chef Pty Ltd</t>
  </si>
  <si>
    <t>Silver Locksmiths</t>
  </si>
  <si>
    <t>Soulfresh</t>
  </si>
  <si>
    <t>Soulmate</t>
  </si>
  <si>
    <t>Southern Cross Credit Union</t>
  </si>
  <si>
    <t>Spiral Foods Pty Ltd</t>
  </si>
  <si>
    <t>Square</t>
  </si>
  <si>
    <t>Square Australia</t>
  </si>
  <si>
    <t>Stevan Markin</t>
  </si>
  <si>
    <t>Sticky Chicky Chai Byron Bay</t>
  </si>
  <si>
    <t>Sumo Electricity</t>
  </si>
  <si>
    <t>Sumo Energy</t>
  </si>
  <si>
    <t>Sumo Gas Pty Ltd</t>
  </si>
  <si>
    <t>Sunday Sunstainable Bakery</t>
  </si>
  <si>
    <t>Superannuation</t>
  </si>
  <si>
    <t>SuperChoice</t>
  </si>
  <si>
    <t>Thanks Darl</t>
  </si>
  <si>
    <t>The Byron Co-op</t>
  </si>
  <si>
    <t>The Good Oil</t>
  </si>
  <si>
    <t>The Henna Tree</t>
  </si>
  <si>
    <t>The Source WholeFoods</t>
  </si>
  <si>
    <t>Three Goannas Pty Ltd</t>
  </si>
  <si>
    <t>Thrive Natural Remedies</t>
  </si>
  <si>
    <t>Toner City</t>
  </si>
  <si>
    <t>Trumps</t>
  </si>
  <si>
    <t>Tulsi Trading Incense Pty Ltd</t>
  </si>
  <si>
    <t>Tyre Assist</t>
  </si>
  <si>
    <t>Unique Health Products</t>
  </si>
  <si>
    <t>United Organics</t>
  </si>
  <si>
    <t>VentraIP Australia</t>
  </si>
  <si>
    <t>Venus Kondos</t>
  </si>
  <si>
    <t>Venuzi</t>
  </si>
  <si>
    <t>Village Greens</t>
  </si>
  <si>
    <t>Vistaprint</t>
  </si>
  <si>
    <t>Vitalus</t>
  </si>
  <si>
    <t>VKA Solicitors</t>
  </si>
  <si>
    <t>Vrindavan Natural Body Care Pty Ltd</t>
  </si>
  <si>
    <t>W Vallentine</t>
  </si>
  <si>
    <t>Wages</t>
  </si>
  <si>
    <t>WD Nicholls</t>
  </si>
  <si>
    <t>Weekly Payroll</t>
  </si>
  <si>
    <t>Wild Breads</t>
  </si>
  <si>
    <t>Window Cleaning</t>
  </si>
  <si>
    <t>Woolworths</t>
  </si>
  <si>
    <t>Woolworths Mullumbimby</t>
  </si>
  <si>
    <t>Wyldglen</t>
  </si>
  <si>
    <t>XERO</t>
  </si>
  <si>
    <t>Xero Australia</t>
  </si>
  <si>
    <t>Yogi Nectar Probiotic Pty Ltd</t>
  </si>
  <si>
    <t>Yuen's Market Trading Co</t>
  </si>
  <si>
    <t>Yumbar Byron Bay</t>
  </si>
  <si>
    <t>Yummify</t>
  </si>
  <si>
    <t>Yuvo Naturals</t>
  </si>
  <si>
    <t>Zentveld's Coffee</t>
  </si>
  <si>
    <t>amount</t>
  </si>
  <si>
    <t>physical goods</t>
  </si>
  <si>
    <t>y</t>
  </si>
  <si>
    <t>n</t>
  </si>
  <si>
    <t>Unknown (Petty Cash W/O ?)</t>
  </si>
  <si>
    <t>no per week</t>
  </si>
  <si>
    <t>no purchaes till mid december</t>
  </si>
  <si>
    <t>many months with 2 purchases</t>
  </si>
  <si>
    <t>most recent 3 march juky august</t>
  </si>
  <si>
    <t>one month had two purchases needs to go to monthly</t>
  </si>
  <si>
    <t>no purchases till mid jan</t>
  </si>
  <si>
    <t>should go to monthly unless we are dropping them</t>
  </si>
  <si>
    <t>purchase amounts vary widely</t>
  </si>
  <si>
    <t>foood and drink seem to be separate can this  not be weekly for both</t>
  </si>
  <si>
    <t>we should be bulk buying soy from elsehwere by the pallet</t>
  </si>
  <si>
    <t>needs to be fortnightly</t>
  </si>
  <si>
    <t>have we stopped buting from this lot?</t>
  </si>
  <si>
    <t>needs to go to montly asap</t>
  </si>
  <si>
    <t>perfect</t>
  </si>
  <si>
    <t>need to get out of this , 5 purchases in 4 months for total of $6,800</t>
  </si>
  <si>
    <t>no longer supplying</t>
  </si>
  <si>
    <t>needs to go to regular weekly slot</t>
  </si>
  <si>
    <t>needs to go to montly unlesss freight minimum order issues</t>
  </si>
  <si>
    <t>needs to go to weekly or fortnightly max unless freigh minimum order issues</t>
  </si>
  <si>
    <t>needs to go to monthly</t>
  </si>
  <si>
    <t>needs to go to monthly and need to trim items, no knives</t>
  </si>
  <si>
    <t>cafe</t>
  </si>
  <si>
    <t>eggs was originally weekly now seems to be fortnightly fr small amounts</t>
  </si>
  <si>
    <t>looks like we no longer deal with them</t>
  </si>
  <si>
    <t>can this go to monthly, amounts purchased are erratic</t>
  </si>
  <si>
    <t>can this go to monthly</t>
  </si>
  <si>
    <t>have we stopped deealing with this lot</t>
  </si>
  <si>
    <t>purchases are all over the place, not sure about wastage here</t>
  </si>
  <si>
    <t>bulk, can this be monthy</t>
  </si>
  <si>
    <t>can this go to monthly if minimum order and freigh not an issue</t>
  </si>
  <si>
    <t xml:space="preserve">can this go to monthly, also need to look at fridge later for slow movers </t>
  </si>
  <si>
    <t>are we still dealing with this lot</t>
  </si>
  <si>
    <t>not sure abiut shelf life, can this be fortnightly</t>
  </si>
  <si>
    <t>$2500 purchase, lots of items, a pig to process, needs to be mnthly</t>
  </si>
  <si>
    <t>see ere perezz, same issues</t>
  </si>
  <si>
    <t>thik we can no longer buy direct</t>
  </si>
  <si>
    <t>looks like bulk, can this be monthly</t>
  </si>
  <si>
    <t>needs to be monthly, only came on line in Jan</t>
  </si>
  <si>
    <t>needs to be monthly, only came on line in Feb</t>
  </si>
  <si>
    <t>no longer active</t>
  </si>
  <si>
    <t>needs to go to monthly provided freight and minimum order not an issue</t>
  </si>
  <si>
    <t>started suplying in feb, often runs out, one product only, may be a use for reorer level on square</t>
  </si>
  <si>
    <t>needs to be orderd more frequently</t>
  </si>
  <si>
    <t>needs to go to monthky or bimonthly</t>
  </si>
  <si>
    <t>weird, only buying one bulk item now, used to be more pre square</t>
  </si>
  <si>
    <t>basically monthly but ordering all over the place, maybe use low stock  warning</t>
  </si>
  <si>
    <t>kids cough medicine, don’t think we need in summer, not sure how to handle</t>
  </si>
  <si>
    <t>assume not dealing with anymore, last purchase jan, cash no vendor name</t>
  </si>
  <si>
    <t>eggs ,varies between weekly and fortnightly, why?</t>
  </si>
  <si>
    <t>4 purchases between Apr and Oct, seesm to be seasonal bananas, how does price compare with ukted organics</t>
  </si>
  <si>
    <t>no purchases since Dec 2024</t>
  </si>
  <si>
    <t>purchase Feb and Sep, expensicve for freight and slow selling, Tulsi?</t>
  </si>
  <si>
    <t>purchase Nov Dec, jan and Mar, bulk honey and jars, do we need this supplier</t>
  </si>
  <si>
    <t>2 purchases May and Aug, need to stop bying drinks which ar slow sellers</t>
  </si>
  <si>
    <t>2 purchases Aug and 1 Oct, needs to go to monthly if possible</t>
  </si>
  <si>
    <t>3 purchases Jun, 1 Jul 1 Sep, should go to monthly</t>
  </si>
  <si>
    <t>1 purchase march, probably don’t buy again.</t>
  </si>
  <si>
    <t>1 purchase jan 2025, probably don’t buy again.</t>
  </si>
  <si>
    <t>0 purchases since 2024</t>
  </si>
  <si>
    <t>last purchase Jan 2025</t>
  </si>
  <si>
    <t>last purchase may 2025 rganic ginger</t>
  </si>
  <si>
    <t>Madison Dowas (sb  Madison Downs)</t>
  </si>
  <si>
    <t>see above</t>
  </si>
  <si>
    <t>D.D.D (Dippity Dooo Dips)</t>
  </si>
  <si>
    <t>look slike we may not be stocking enough</t>
  </si>
  <si>
    <t>last purchase Apr 2025 bulk honey in tap bucket</t>
  </si>
  <si>
    <t>Purchases 6 of same item Nov Mar Sep, low stock ciunt solution?l</t>
  </si>
  <si>
    <t>last purchase Nov 2024</t>
  </si>
  <si>
    <t>3 purchases last one Aug 2025, sold 2 since Juy]ly, stop buying / selling</t>
  </si>
  <si>
    <t>Purchase August, selling poorly, discontinue</t>
  </si>
  <si>
    <t>Stop purchasing</t>
  </si>
  <si>
    <t>Purchase Aug 2025, cant find  items in square</t>
  </si>
  <si>
    <t>last purchase Feb 2025</t>
  </si>
  <si>
    <t>seems to be random emergency cash purchases of items we were short of</t>
  </si>
  <si>
    <t>last purchase Jan 2025, don’t buy again still stiff from last order</t>
  </si>
  <si>
    <t>ignore, random purchase from shop in Mullumbimby</t>
  </si>
  <si>
    <t>Jul 2025, facial pack bought 3 sold 1 do not buy again maybe none left either!</t>
  </si>
  <si>
    <t>Pur Sep 2025, 12 bottles cordial only 1 sold do not buy again</t>
  </si>
  <si>
    <t>last purchase Dec 2024</t>
  </si>
  <si>
    <r>
      <t xml:space="preserve">two purchasesOct, </t>
    </r>
    <r>
      <rPr>
        <u/>
        <sz val="9"/>
        <color theme="1"/>
        <rFont val="Arial"/>
        <family val="2"/>
      </rPr>
      <t xml:space="preserve">25/kg </t>
    </r>
    <r>
      <rPr>
        <sz val="9"/>
        <color theme="1"/>
        <rFont val="Arial"/>
      </rPr>
      <t>seems expensive for mixed salad</t>
    </r>
  </si>
  <si>
    <t xml:space="preserve">total no of purchases for year 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</si>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</sst>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"/>
  </numFmts>
  <fonts count="9" x14ac:knownFonts="1">
    <font>
      <sz val="9"/>
      <color theme="1"/>
      <name val="Arial"/>
    </font>
    <font>
      <sz val="14"/>
      <color theme="1"/>
      <name val="Arial"/>
    </font>
    <font>
      <b/>
      <sz val="14"/>
      <color theme="1"/>
      <name val="Arial"/>
    </font>
    <font>
      <sz val="12"/>
      <color theme="1"/>
      <name val="Arial"/>
    </font>
    <font>
      <b/>
      <sz val="9"/>
      <color theme="1"/>
      <name val="Arial"/>
    </font>
    <font>
      <sz val="9"/>
      <color theme="1"/>
      <name val="Arial"/>
      <family val="2"/>
    </font>
    <font>
      <sz val="8"/>
      <name val="Arial"/>
    </font>
    <font>
      <u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vertical="top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horizontal="right" vertical="center"/>
    </xf>
    <xf numFmtId="0" fontId="4" fillId="0" borderId="1" xfId="0" applyFont="1" applyBorder="1" applyAlignment="1">
      <alignment vertical="center"/>
    </xf>
    <xf numFmtId="164" fontId="4" fillId="0" borderId="1" xfId="0" applyNumberFormat="1" applyFont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1" xfId="0" applyBorder="1"/>
    <xf numFmtId="164" fontId="0" fillId="0" borderId="0" xfId="0" applyNumberFormat="1" applyAlignment="1">
      <alignment horizontal="right"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" fontId="0" fillId="0" borderId="0" xfId="0" applyNumberFormat="1"/>
    <xf numFmtId="0" fontId="5" fillId="0" borderId="0" xfId="0" applyFont="1"/>
    <xf numFmtId="0" fontId="8" fillId="0" borderId="0" xfId="0" applyFont="1" applyAlignment="1">
      <alignment vertical="top"/>
    </xf>
    <xf numFmtId="0" fontId="8" fillId="0" borderId="0" xfId="0" applyFont="1"/>
    <xf numFmtId="0" fontId="8" fillId="0" borderId="0" xfId="0" applyFont="1" applyAlignment="1">
      <alignment horizont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4"/>
  <sheetViews>
    <sheetView showGridLines="0" zoomScaleNormal="100" workbookViewId="0">
      <selection sqref="A1:C282"/>
    </sheetView>
  </sheetViews>
  <sheetFormatPr defaultRowHeight="11.4" x14ac:dyDescent="0.2"/>
  <cols>
    <col min="1" max="1" width="42" customWidth="1"/>
    <col min="2" max="2" width="21.125" customWidth="1"/>
    <col min="3" max="3" width="13.125" style="15" bestFit="1" customWidth="1"/>
  </cols>
  <sheetData>
    <row r="1" spans="1:3" s="1" customFormat="1" ht="16.649999999999999" customHeight="1" x14ac:dyDescent="0.3">
      <c r="A1" s="2" t="s">
        <v>0</v>
      </c>
      <c r="B1" s="2"/>
      <c r="C1" s="13"/>
    </row>
    <row r="2" spans="1:3" s="3" customFormat="1" ht="14.4" customHeight="1" x14ac:dyDescent="0.25">
      <c r="A2" s="4" t="s">
        <v>1</v>
      </c>
      <c r="B2" s="4"/>
      <c r="C2" s="14"/>
    </row>
    <row r="3" spans="1:3" s="3" customFormat="1" ht="14.4" customHeight="1" x14ac:dyDescent="0.25">
      <c r="A3" s="4" t="s">
        <v>2</v>
      </c>
      <c r="B3" s="4"/>
      <c r="C3" s="14"/>
    </row>
    <row r="4" spans="1:3" ht="13.35" customHeight="1" x14ac:dyDescent="0.2"/>
    <row r="5" spans="1:3" ht="10.95" customHeight="1" x14ac:dyDescent="0.2">
      <c r="A5" s="5" t="s">
        <v>3</v>
      </c>
      <c r="B5" t="s">
        <v>280</v>
      </c>
      <c r="C5" s="15" t="s">
        <v>281</v>
      </c>
    </row>
    <row r="6" spans="1:3" ht="13.35" customHeight="1" x14ac:dyDescent="0.2"/>
    <row r="7" spans="1:3" ht="13.35" customHeight="1" x14ac:dyDescent="0.2">
      <c r="A7" s="10" t="s">
        <v>264</v>
      </c>
      <c r="B7" s="12">
        <v>-220032.68</v>
      </c>
      <c r="C7" s="15" t="s">
        <v>282</v>
      </c>
    </row>
    <row r="8" spans="1:3" ht="10.95" customHeight="1" x14ac:dyDescent="0.2">
      <c r="A8" s="10" t="s">
        <v>254</v>
      </c>
      <c r="B8" s="12">
        <v>-214907.45</v>
      </c>
      <c r="C8" s="15" t="s">
        <v>283</v>
      </c>
    </row>
    <row r="9" spans="1:3" ht="10.95" customHeight="1" x14ac:dyDescent="0.2">
      <c r="A9" s="6" t="s">
        <v>266</v>
      </c>
      <c r="B9" s="7">
        <v>-162780.17000000001</v>
      </c>
      <c r="C9" s="15" t="s">
        <v>283</v>
      </c>
    </row>
    <row r="10" spans="1:3" ht="10.95" customHeight="1" x14ac:dyDescent="0.2">
      <c r="A10" s="6" t="s">
        <v>89</v>
      </c>
      <c r="B10" s="7">
        <v>-81609.88</v>
      </c>
      <c r="C10" s="15" t="s">
        <v>282</v>
      </c>
    </row>
    <row r="11" spans="1:3" ht="10.95" customHeight="1" x14ac:dyDescent="0.2">
      <c r="A11" s="6" t="s">
        <v>57</v>
      </c>
      <c r="B11" s="7">
        <v>-75965.8</v>
      </c>
      <c r="C11" s="15" t="s">
        <v>282</v>
      </c>
    </row>
    <row r="12" spans="1:3" ht="10.95" customHeight="1" x14ac:dyDescent="0.2">
      <c r="A12" s="6" t="s">
        <v>146</v>
      </c>
      <c r="B12" s="7">
        <v>-49519.86</v>
      </c>
      <c r="C12" s="15" t="s">
        <v>282</v>
      </c>
    </row>
    <row r="13" spans="1:3" ht="10.95" customHeight="1" x14ac:dyDescent="0.2">
      <c r="A13" s="6" t="s">
        <v>10</v>
      </c>
      <c r="B13" s="7">
        <v>-40986.769999999997</v>
      </c>
      <c r="C13" s="15" t="s">
        <v>282</v>
      </c>
    </row>
    <row r="14" spans="1:3" ht="10.95" customHeight="1" x14ac:dyDescent="0.2">
      <c r="A14" s="6" t="s">
        <v>277</v>
      </c>
      <c r="B14" s="7">
        <v>-40946.79</v>
      </c>
      <c r="C14" s="15" t="s">
        <v>282</v>
      </c>
    </row>
    <row r="15" spans="1:3" ht="10.95" customHeight="1" x14ac:dyDescent="0.2">
      <c r="A15" s="6" t="s">
        <v>118</v>
      </c>
      <c r="B15" s="7">
        <v>-38861.47</v>
      </c>
      <c r="C15" s="15" t="s">
        <v>282</v>
      </c>
    </row>
    <row r="16" spans="1:3" ht="10.95" customHeight="1" x14ac:dyDescent="0.2">
      <c r="A16" s="6" t="s">
        <v>110</v>
      </c>
      <c r="B16" s="7">
        <v>-36465.449999999997</v>
      </c>
      <c r="C16" s="15" t="s">
        <v>283</v>
      </c>
    </row>
    <row r="17" spans="1:3" ht="10.95" customHeight="1" x14ac:dyDescent="0.2">
      <c r="A17" s="6" t="s">
        <v>23</v>
      </c>
      <c r="B17" s="7">
        <v>-33586</v>
      </c>
      <c r="C17" s="15" t="s">
        <v>283</v>
      </c>
    </row>
    <row r="18" spans="1:3" ht="10.95" customHeight="1" x14ac:dyDescent="0.2">
      <c r="A18" s="6" t="s">
        <v>67</v>
      </c>
      <c r="B18" s="7">
        <v>-33294</v>
      </c>
      <c r="C18" s="15" t="s">
        <v>282</v>
      </c>
    </row>
    <row r="19" spans="1:3" ht="10.95" customHeight="1" x14ac:dyDescent="0.2">
      <c r="A19" s="6" t="s">
        <v>129</v>
      </c>
      <c r="B19" s="7">
        <v>-30941.42</v>
      </c>
      <c r="C19" s="15" t="s">
        <v>283</v>
      </c>
    </row>
    <row r="20" spans="1:3" ht="10.95" customHeight="1" x14ac:dyDescent="0.2">
      <c r="A20" s="6" t="s">
        <v>241</v>
      </c>
      <c r="B20" s="7">
        <v>-27637.86</v>
      </c>
      <c r="C20" s="15" t="s">
        <v>283</v>
      </c>
    </row>
    <row r="21" spans="1:3" ht="10.95" customHeight="1" x14ac:dyDescent="0.2">
      <c r="A21" s="6" t="s">
        <v>147</v>
      </c>
      <c r="B21" s="7">
        <v>-20757.080000000002</v>
      </c>
      <c r="C21" s="15" t="s">
        <v>282</v>
      </c>
    </row>
    <row r="22" spans="1:3" ht="10.95" customHeight="1" x14ac:dyDescent="0.2">
      <c r="A22" s="6" t="s">
        <v>6</v>
      </c>
      <c r="B22" s="7">
        <v>-19483.21</v>
      </c>
      <c r="C22" s="15" t="s">
        <v>282</v>
      </c>
    </row>
    <row r="23" spans="1:3" ht="10.95" customHeight="1" x14ac:dyDescent="0.2">
      <c r="A23" s="6" t="s">
        <v>243</v>
      </c>
      <c r="B23" s="7">
        <v>-18423.52</v>
      </c>
      <c r="C23" s="15" t="s">
        <v>282</v>
      </c>
    </row>
    <row r="24" spans="1:3" ht="10.95" customHeight="1" x14ac:dyDescent="0.2">
      <c r="A24" s="6" t="s">
        <v>122</v>
      </c>
      <c r="B24" s="7">
        <v>-17095.41</v>
      </c>
      <c r="C24" s="15" t="s">
        <v>282</v>
      </c>
    </row>
    <row r="25" spans="1:3" ht="10.95" customHeight="1" x14ac:dyDescent="0.2">
      <c r="A25" s="6" t="s">
        <v>253</v>
      </c>
      <c r="B25" s="7">
        <v>-16233.84</v>
      </c>
      <c r="C25" s="15" t="s">
        <v>282</v>
      </c>
    </row>
    <row r="26" spans="1:3" ht="10.95" customHeight="1" x14ac:dyDescent="0.2">
      <c r="A26" s="6" t="s">
        <v>279</v>
      </c>
      <c r="B26" s="7">
        <v>-14030.09</v>
      </c>
      <c r="C26" s="15" t="s">
        <v>283</v>
      </c>
    </row>
    <row r="27" spans="1:3" ht="10.95" customHeight="1" x14ac:dyDescent="0.2">
      <c r="A27" s="6" t="s">
        <v>43</v>
      </c>
      <c r="B27" s="7">
        <v>-13773.27</v>
      </c>
      <c r="C27" s="15" t="s">
        <v>282</v>
      </c>
    </row>
    <row r="28" spans="1:3" ht="10.95" customHeight="1" x14ac:dyDescent="0.2">
      <c r="A28" s="6" t="s">
        <v>92</v>
      </c>
      <c r="B28" s="7">
        <v>-13580</v>
      </c>
      <c r="C28" s="15" t="s">
        <v>283</v>
      </c>
    </row>
    <row r="29" spans="1:3" ht="10.95" customHeight="1" x14ac:dyDescent="0.2">
      <c r="A29" s="6" t="s">
        <v>35</v>
      </c>
      <c r="B29" s="7">
        <v>-13506.32</v>
      </c>
      <c r="C29" s="15" t="s">
        <v>282</v>
      </c>
    </row>
    <row r="30" spans="1:3" ht="10.95" customHeight="1" x14ac:dyDescent="0.2">
      <c r="A30" s="6" t="s">
        <v>11</v>
      </c>
      <c r="B30" s="7">
        <v>-13002.98</v>
      </c>
      <c r="C30" s="15" t="s">
        <v>282</v>
      </c>
    </row>
    <row r="31" spans="1:3" ht="10.95" customHeight="1" x14ac:dyDescent="0.2">
      <c r="A31" s="6" t="s">
        <v>138</v>
      </c>
      <c r="B31" s="7">
        <v>-12475</v>
      </c>
      <c r="C31" s="15" t="s">
        <v>282</v>
      </c>
    </row>
    <row r="32" spans="1:3" ht="10.95" customHeight="1" x14ac:dyDescent="0.2">
      <c r="A32" s="6" t="s">
        <v>103</v>
      </c>
      <c r="B32" s="7">
        <v>-12098.65</v>
      </c>
      <c r="C32" s="15" t="s">
        <v>283</v>
      </c>
    </row>
    <row r="33" spans="1:3" ht="10.95" customHeight="1" x14ac:dyDescent="0.2">
      <c r="A33" s="6" t="s">
        <v>237</v>
      </c>
      <c r="B33" s="7">
        <v>-11787.54</v>
      </c>
      <c r="C33" s="15" t="s">
        <v>283</v>
      </c>
    </row>
    <row r="34" spans="1:3" ht="10.95" customHeight="1" x14ac:dyDescent="0.2">
      <c r="A34" s="6" t="s">
        <v>240</v>
      </c>
      <c r="B34" s="7">
        <v>-11645.72</v>
      </c>
      <c r="C34" s="15" t="s">
        <v>283</v>
      </c>
    </row>
    <row r="35" spans="1:3" ht="10.95" customHeight="1" x14ac:dyDescent="0.2">
      <c r="A35" s="6" t="s">
        <v>95</v>
      </c>
      <c r="B35" s="7">
        <v>-11558.62</v>
      </c>
      <c r="C35" s="15" t="s">
        <v>282</v>
      </c>
    </row>
    <row r="36" spans="1:3" ht="10.95" customHeight="1" x14ac:dyDescent="0.2">
      <c r="A36" s="6" t="s">
        <v>231</v>
      </c>
      <c r="B36" s="7">
        <v>-10633.42</v>
      </c>
      <c r="C36" s="15" t="s">
        <v>282</v>
      </c>
    </row>
    <row r="37" spans="1:3" ht="10.95" customHeight="1" x14ac:dyDescent="0.2">
      <c r="A37" s="6" t="s">
        <v>77</v>
      </c>
      <c r="B37" s="7">
        <v>-10130.94</v>
      </c>
      <c r="C37" s="15" t="s">
        <v>282</v>
      </c>
    </row>
    <row r="38" spans="1:3" ht="10.95" customHeight="1" x14ac:dyDescent="0.2">
      <c r="A38" s="6" t="s">
        <v>217</v>
      </c>
      <c r="B38" s="7">
        <v>-9724.14</v>
      </c>
      <c r="C38" s="15" t="s">
        <v>282</v>
      </c>
    </row>
    <row r="39" spans="1:3" ht="10.95" customHeight="1" x14ac:dyDescent="0.2">
      <c r="A39" s="6" t="s">
        <v>28</v>
      </c>
      <c r="B39" s="7">
        <v>-9237.23</v>
      </c>
      <c r="C39" s="15" t="s">
        <v>282</v>
      </c>
    </row>
    <row r="40" spans="1:3" ht="10.95" customHeight="1" x14ac:dyDescent="0.2">
      <c r="A40" s="6" t="s">
        <v>256</v>
      </c>
      <c r="B40" s="7">
        <v>-8876.01</v>
      </c>
      <c r="C40" s="15" t="s">
        <v>283</v>
      </c>
    </row>
    <row r="41" spans="1:3" ht="10.95" customHeight="1" x14ac:dyDescent="0.2">
      <c r="A41" s="6" t="s">
        <v>64</v>
      </c>
      <c r="B41" s="7">
        <v>-8042.06</v>
      </c>
      <c r="C41" s="15" t="s">
        <v>282</v>
      </c>
    </row>
    <row r="42" spans="1:3" ht="10.95" customHeight="1" x14ac:dyDescent="0.2">
      <c r="A42" s="6" t="s">
        <v>76</v>
      </c>
      <c r="B42" s="7">
        <v>-7839.93</v>
      </c>
      <c r="C42" s="15" t="s">
        <v>282</v>
      </c>
    </row>
    <row r="43" spans="1:3" ht="10.95" customHeight="1" x14ac:dyDescent="0.2">
      <c r="A43" s="6" t="s">
        <v>98</v>
      </c>
      <c r="B43" s="7">
        <v>-7571.82</v>
      </c>
      <c r="C43" s="15" t="s">
        <v>282</v>
      </c>
    </row>
    <row r="44" spans="1:3" ht="10.95" customHeight="1" x14ac:dyDescent="0.2">
      <c r="A44" s="6" t="s">
        <v>244</v>
      </c>
      <c r="B44" s="7">
        <v>-7467.1</v>
      </c>
      <c r="C44" s="15" t="s">
        <v>282</v>
      </c>
    </row>
    <row r="45" spans="1:3" ht="10.95" customHeight="1" x14ac:dyDescent="0.2">
      <c r="A45" s="6" t="s">
        <v>284</v>
      </c>
      <c r="B45" s="7">
        <v>-7454.65</v>
      </c>
      <c r="C45" s="15" t="s">
        <v>283</v>
      </c>
    </row>
    <row r="46" spans="1:3" ht="10.95" customHeight="1" x14ac:dyDescent="0.2">
      <c r="A46" s="6" t="s">
        <v>156</v>
      </c>
      <c r="B46" s="7">
        <v>-7377.83</v>
      </c>
      <c r="C46" s="15" t="s">
        <v>282</v>
      </c>
    </row>
    <row r="47" spans="1:3" ht="10.95" customHeight="1" x14ac:dyDescent="0.2">
      <c r="A47" s="6" t="s">
        <v>234</v>
      </c>
      <c r="B47" s="7">
        <v>-7344.6</v>
      </c>
      <c r="C47" s="15" t="s">
        <v>283</v>
      </c>
    </row>
    <row r="48" spans="1:3" ht="10.95" customHeight="1" x14ac:dyDescent="0.2">
      <c r="A48" s="6" t="s">
        <v>202</v>
      </c>
      <c r="B48" s="7">
        <v>-7098.92</v>
      </c>
      <c r="C48" s="15" t="s">
        <v>282</v>
      </c>
    </row>
    <row r="49" spans="1:3" ht="10.95" customHeight="1" x14ac:dyDescent="0.2">
      <c r="A49" s="6" t="s">
        <v>30</v>
      </c>
      <c r="B49" s="7">
        <v>-7025.56</v>
      </c>
      <c r="C49" s="15" t="s">
        <v>282</v>
      </c>
    </row>
    <row r="50" spans="1:3" ht="10.95" customHeight="1" x14ac:dyDescent="0.2">
      <c r="A50" s="6" t="s">
        <v>93</v>
      </c>
      <c r="B50" s="7">
        <v>-6834.74</v>
      </c>
      <c r="C50" s="15" t="s">
        <v>282</v>
      </c>
    </row>
    <row r="51" spans="1:3" ht="10.95" customHeight="1" x14ac:dyDescent="0.2">
      <c r="A51" s="6" t="s">
        <v>232</v>
      </c>
      <c r="B51" s="7">
        <v>-6484.93</v>
      </c>
      <c r="C51" s="15" t="s">
        <v>283</v>
      </c>
    </row>
    <row r="52" spans="1:3" ht="10.95" customHeight="1" x14ac:dyDescent="0.2">
      <c r="A52" s="6" t="s">
        <v>17</v>
      </c>
      <c r="B52" s="7">
        <v>-6305.35</v>
      </c>
      <c r="C52" s="15" t="s">
        <v>282</v>
      </c>
    </row>
    <row r="53" spans="1:3" ht="10.95" customHeight="1" x14ac:dyDescent="0.2">
      <c r="A53" s="6" t="s">
        <v>141</v>
      </c>
      <c r="B53" s="7">
        <v>-6150.95</v>
      </c>
      <c r="C53" s="15" t="s">
        <v>283</v>
      </c>
    </row>
    <row r="54" spans="1:3" ht="10.95" customHeight="1" x14ac:dyDescent="0.2">
      <c r="A54" s="6" t="s">
        <v>56</v>
      </c>
      <c r="B54" s="7">
        <v>-6026.9</v>
      </c>
      <c r="C54" s="15" t="s">
        <v>282</v>
      </c>
    </row>
    <row r="55" spans="1:3" ht="10.95" customHeight="1" x14ac:dyDescent="0.2">
      <c r="A55" s="6" t="s">
        <v>262</v>
      </c>
      <c r="B55" s="7">
        <v>-5758.67</v>
      </c>
      <c r="C55" s="15" t="s">
        <v>282</v>
      </c>
    </row>
    <row r="56" spans="1:3" ht="10.95" customHeight="1" x14ac:dyDescent="0.2">
      <c r="A56" s="6" t="s">
        <v>191</v>
      </c>
      <c r="B56" s="7">
        <v>-5516.36</v>
      </c>
      <c r="C56" s="15" t="s">
        <v>282</v>
      </c>
    </row>
    <row r="57" spans="1:3" ht="10.95" customHeight="1" x14ac:dyDescent="0.2">
      <c r="A57" s="6" t="s">
        <v>250</v>
      </c>
      <c r="B57" s="7">
        <v>-5373.75</v>
      </c>
      <c r="C57" s="15" t="s">
        <v>282</v>
      </c>
    </row>
    <row r="58" spans="1:3" ht="10.95" customHeight="1" x14ac:dyDescent="0.2">
      <c r="A58" s="6" t="s">
        <v>274</v>
      </c>
      <c r="B58" s="7">
        <v>-5324.42</v>
      </c>
      <c r="C58" s="15" t="s">
        <v>282</v>
      </c>
    </row>
    <row r="59" spans="1:3" ht="10.95" customHeight="1" x14ac:dyDescent="0.2">
      <c r="A59" s="6" t="s">
        <v>251</v>
      </c>
      <c r="B59" s="7">
        <v>-5175.04</v>
      </c>
      <c r="C59" s="15" t="s">
        <v>282</v>
      </c>
    </row>
    <row r="60" spans="1:3" ht="10.95" customHeight="1" x14ac:dyDescent="0.2">
      <c r="A60" s="6" t="s">
        <v>53</v>
      </c>
      <c r="B60" s="7">
        <v>-5079.95</v>
      </c>
      <c r="C60" s="15" t="s">
        <v>282</v>
      </c>
    </row>
    <row r="61" spans="1:3" ht="10.95" customHeight="1" x14ac:dyDescent="0.2">
      <c r="A61" s="6" t="s">
        <v>161</v>
      </c>
      <c r="B61" s="7">
        <v>-4973.54</v>
      </c>
      <c r="C61" s="15" t="s">
        <v>282</v>
      </c>
    </row>
    <row r="62" spans="1:3" ht="10.95" customHeight="1" x14ac:dyDescent="0.2">
      <c r="A62" s="6" t="s">
        <v>236</v>
      </c>
      <c r="B62" s="7">
        <v>-4971.33</v>
      </c>
      <c r="C62" s="15" t="s">
        <v>283</v>
      </c>
    </row>
    <row r="63" spans="1:3" ht="10.95" customHeight="1" x14ac:dyDescent="0.2">
      <c r="A63" s="6" t="s">
        <v>238</v>
      </c>
      <c r="B63" s="7">
        <v>-4753.91</v>
      </c>
      <c r="C63" s="15" t="s">
        <v>283</v>
      </c>
    </row>
    <row r="64" spans="1:3" ht="10.95" customHeight="1" x14ac:dyDescent="0.2">
      <c r="A64" s="6" t="s">
        <v>149</v>
      </c>
      <c r="B64" s="7">
        <v>-4743</v>
      </c>
      <c r="C64" s="15" t="s">
        <v>282</v>
      </c>
    </row>
    <row r="65" spans="1:3" ht="10.95" customHeight="1" x14ac:dyDescent="0.2">
      <c r="A65" s="6" t="s">
        <v>226</v>
      </c>
      <c r="B65" s="7">
        <v>-4723.24</v>
      </c>
      <c r="C65" s="15" t="s">
        <v>283</v>
      </c>
    </row>
    <row r="66" spans="1:3" ht="10.95" customHeight="1" x14ac:dyDescent="0.2">
      <c r="A66" s="6" t="s">
        <v>81</v>
      </c>
      <c r="B66" s="7">
        <v>-4717.46</v>
      </c>
      <c r="C66" s="15" t="s">
        <v>282</v>
      </c>
    </row>
    <row r="67" spans="1:3" ht="10.95" customHeight="1" x14ac:dyDescent="0.2">
      <c r="A67" s="6" t="s">
        <v>9</v>
      </c>
      <c r="B67" s="7">
        <v>-4498.1099999999997</v>
      </c>
      <c r="C67" s="15" t="s">
        <v>283</v>
      </c>
    </row>
    <row r="68" spans="1:3" ht="10.95" customHeight="1" x14ac:dyDescent="0.2">
      <c r="A68" s="6" t="s">
        <v>228</v>
      </c>
      <c r="B68" s="7">
        <v>-4490.91</v>
      </c>
      <c r="C68" s="15" t="s">
        <v>282</v>
      </c>
    </row>
    <row r="69" spans="1:3" ht="10.95" customHeight="1" x14ac:dyDescent="0.2">
      <c r="A69" s="6" t="s">
        <v>275</v>
      </c>
      <c r="B69" s="7">
        <v>-4389.12</v>
      </c>
      <c r="C69" s="15" t="s">
        <v>282</v>
      </c>
    </row>
    <row r="70" spans="1:3" ht="10.95" customHeight="1" x14ac:dyDescent="0.2">
      <c r="A70" s="6" t="s">
        <v>276</v>
      </c>
      <c r="B70" s="7">
        <v>-4258.8500000000004</v>
      </c>
      <c r="C70" s="15" t="s">
        <v>282</v>
      </c>
    </row>
    <row r="71" spans="1:3" ht="10.95" customHeight="1" x14ac:dyDescent="0.2">
      <c r="A71" s="6" t="s">
        <v>166</v>
      </c>
      <c r="B71" s="7">
        <v>-4227.3</v>
      </c>
      <c r="C71" s="15" t="s">
        <v>282</v>
      </c>
    </row>
    <row r="72" spans="1:3" ht="10.95" customHeight="1" x14ac:dyDescent="0.2">
      <c r="A72" s="6" t="s">
        <v>38</v>
      </c>
      <c r="B72" s="7">
        <v>-3894.65</v>
      </c>
      <c r="C72" s="15" t="s">
        <v>282</v>
      </c>
    </row>
    <row r="73" spans="1:3" ht="10.95" customHeight="1" x14ac:dyDescent="0.2">
      <c r="A73" s="6" t="s">
        <v>209</v>
      </c>
      <c r="B73" s="7">
        <v>-3867</v>
      </c>
      <c r="C73" s="15" t="s">
        <v>283</v>
      </c>
    </row>
    <row r="74" spans="1:3" ht="10.95" customHeight="1" x14ac:dyDescent="0.2">
      <c r="A74" s="6" t="s">
        <v>96</v>
      </c>
      <c r="B74" s="7">
        <v>-3862.5</v>
      </c>
      <c r="C74" s="15" t="s">
        <v>282</v>
      </c>
    </row>
    <row r="75" spans="1:3" ht="10.95" customHeight="1" x14ac:dyDescent="0.2">
      <c r="A75" s="6" t="s">
        <v>172</v>
      </c>
      <c r="B75" s="7">
        <v>-3640</v>
      </c>
      <c r="C75" s="15" t="s">
        <v>282</v>
      </c>
    </row>
    <row r="76" spans="1:3" ht="10.95" customHeight="1" x14ac:dyDescent="0.2">
      <c r="A76" s="6" t="s">
        <v>34</v>
      </c>
      <c r="B76" s="7">
        <v>-3500</v>
      </c>
      <c r="C76" s="15" t="s">
        <v>283</v>
      </c>
    </row>
    <row r="77" spans="1:3" ht="10.95" customHeight="1" x14ac:dyDescent="0.2">
      <c r="A77" s="6" t="s">
        <v>133</v>
      </c>
      <c r="B77" s="7">
        <v>-3411.95</v>
      </c>
      <c r="C77" s="15" t="s">
        <v>282</v>
      </c>
    </row>
    <row r="78" spans="1:3" ht="10.95" customHeight="1" x14ac:dyDescent="0.2">
      <c r="A78" s="6" t="s">
        <v>233</v>
      </c>
      <c r="B78" s="7">
        <v>-3395.73</v>
      </c>
      <c r="C78" s="15" t="s">
        <v>283</v>
      </c>
    </row>
    <row r="79" spans="1:3" ht="10.95" customHeight="1" x14ac:dyDescent="0.2">
      <c r="A79" s="6" t="s">
        <v>100</v>
      </c>
      <c r="B79" s="7">
        <v>-3344.23</v>
      </c>
      <c r="C79" s="15" t="s">
        <v>282</v>
      </c>
    </row>
    <row r="80" spans="1:3" ht="10.95" customHeight="1" x14ac:dyDescent="0.2">
      <c r="A80" s="6" t="s">
        <v>136</v>
      </c>
      <c r="B80" s="7">
        <v>-3279.81</v>
      </c>
      <c r="C80" s="15" t="s">
        <v>282</v>
      </c>
    </row>
    <row r="81" spans="1:3" ht="10.95" customHeight="1" x14ac:dyDescent="0.2">
      <c r="A81" s="6" t="s">
        <v>140</v>
      </c>
      <c r="B81" s="7">
        <v>-3181.33</v>
      </c>
      <c r="C81" s="15" t="s">
        <v>282</v>
      </c>
    </row>
    <row r="82" spans="1:3" ht="10.95" customHeight="1" x14ac:dyDescent="0.2">
      <c r="A82" s="6" t="s">
        <v>267</v>
      </c>
      <c r="B82" s="7">
        <v>-3143</v>
      </c>
      <c r="C82" s="15" t="s">
        <v>282</v>
      </c>
    </row>
    <row r="83" spans="1:3" ht="10.95" customHeight="1" x14ac:dyDescent="0.2">
      <c r="A83" s="6" t="s">
        <v>21</v>
      </c>
      <c r="B83" s="7">
        <v>-2892.83</v>
      </c>
      <c r="C83" s="15" t="s">
        <v>282</v>
      </c>
    </row>
    <row r="84" spans="1:3" ht="10.95" customHeight="1" x14ac:dyDescent="0.2">
      <c r="A84" s="6" t="s">
        <v>212</v>
      </c>
      <c r="B84" s="7">
        <v>-2868.75</v>
      </c>
      <c r="C84" s="15" t="s">
        <v>282</v>
      </c>
    </row>
    <row r="85" spans="1:3" ht="10.95" customHeight="1" x14ac:dyDescent="0.2">
      <c r="A85" s="6" t="s">
        <v>214</v>
      </c>
      <c r="B85" s="7">
        <v>-2706</v>
      </c>
      <c r="C85" s="15" t="s">
        <v>282</v>
      </c>
    </row>
    <row r="86" spans="1:3" ht="10.95" customHeight="1" x14ac:dyDescent="0.2">
      <c r="A86" s="6" t="s">
        <v>165</v>
      </c>
      <c r="B86" s="7">
        <v>-2690.97</v>
      </c>
      <c r="C86" s="15" t="s">
        <v>283</v>
      </c>
    </row>
    <row r="87" spans="1:3" ht="10.95" customHeight="1" x14ac:dyDescent="0.2">
      <c r="A87" s="6" t="s">
        <v>189</v>
      </c>
      <c r="B87" s="7">
        <v>-2608.5</v>
      </c>
      <c r="C87" s="15" t="s">
        <v>282</v>
      </c>
    </row>
    <row r="88" spans="1:3" ht="10.95" customHeight="1" x14ac:dyDescent="0.2">
      <c r="A88" s="6" t="s">
        <v>55</v>
      </c>
      <c r="B88" s="7">
        <v>-2596.5</v>
      </c>
      <c r="C88" s="15" t="s">
        <v>282</v>
      </c>
    </row>
    <row r="89" spans="1:3" ht="10.95" customHeight="1" x14ac:dyDescent="0.2">
      <c r="A89" s="6" t="s">
        <v>184</v>
      </c>
      <c r="B89" s="7">
        <v>-2558.4</v>
      </c>
      <c r="C89" s="15" t="s">
        <v>282</v>
      </c>
    </row>
    <row r="90" spans="1:3" ht="10.95" customHeight="1" x14ac:dyDescent="0.2">
      <c r="A90" s="6" t="s">
        <v>260</v>
      </c>
      <c r="B90" s="7">
        <v>-2505.5</v>
      </c>
      <c r="C90" s="15" t="s">
        <v>282</v>
      </c>
    </row>
    <row r="91" spans="1:3" ht="10.95" customHeight="1" x14ac:dyDescent="0.2">
      <c r="A91" s="6" t="s">
        <v>204</v>
      </c>
      <c r="B91" s="7">
        <v>-2457.27</v>
      </c>
      <c r="C91" s="15" t="s">
        <v>282</v>
      </c>
    </row>
    <row r="92" spans="1:3" ht="10.95" customHeight="1" x14ac:dyDescent="0.2">
      <c r="A92" s="6" t="s">
        <v>187</v>
      </c>
      <c r="B92" s="7">
        <v>-2406.16</v>
      </c>
      <c r="C92" s="15" t="s">
        <v>283</v>
      </c>
    </row>
    <row r="93" spans="1:3" ht="10.95" customHeight="1" x14ac:dyDescent="0.2">
      <c r="A93" s="6" t="s">
        <v>86</v>
      </c>
      <c r="B93" s="7">
        <v>-2307.98</v>
      </c>
      <c r="C93" s="15" t="s">
        <v>282</v>
      </c>
    </row>
    <row r="94" spans="1:3" ht="10.95" customHeight="1" x14ac:dyDescent="0.2">
      <c r="A94" s="6" t="s">
        <v>27</v>
      </c>
      <c r="B94" s="7">
        <v>-2280</v>
      </c>
      <c r="C94" s="15" t="s">
        <v>282</v>
      </c>
    </row>
    <row r="95" spans="1:3" ht="10.95" customHeight="1" x14ac:dyDescent="0.2">
      <c r="A95" s="6" t="s">
        <v>144</v>
      </c>
      <c r="B95" s="7">
        <v>-2205.8000000000002</v>
      </c>
      <c r="C95" s="15" t="s">
        <v>282</v>
      </c>
    </row>
    <row r="96" spans="1:3" ht="10.95" customHeight="1" x14ac:dyDescent="0.2">
      <c r="A96" s="6" t="s">
        <v>36</v>
      </c>
      <c r="B96" s="7">
        <v>-2141.9499999999998</v>
      </c>
      <c r="C96" s="15" t="s">
        <v>282</v>
      </c>
    </row>
    <row r="97" spans="1:3" ht="10.95" customHeight="1" x14ac:dyDescent="0.2">
      <c r="A97" s="6" t="s">
        <v>113</v>
      </c>
      <c r="B97" s="7">
        <v>-2133.27</v>
      </c>
      <c r="C97" s="15" t="s">
        <v>282</v>
      </c>
    </row>
    <row r="98" spans="1:3" ht="10.95" customHeight="1" x14ac:dyDescent="0.2">
      <c r="A98" s="6" t="s">
        <v>151</v>
      </c>
      <c r="B98" s="7">
        <v>-2110</v>
      </c>
      <c r="C98" s="15" t="s">
        <v>282</v>
      </c>
    </row>
    <row r="99" spans="1:3" ht="10.95" customHeight="1" x14ac:dyDescent="0.2">
      <c r="A99" s="6" t="s">
        <v>179</v>
      </c>
      <c r="B99" s="7">
        <v>-2013.5</v>
      </c>
      <c r="C99" s="15" t="s">
        <v>282</v>
      </c>
    </row>
    <row r="100" spans="1:3" ht="10.95" customHeight="1" x14ac:dyDescent="0.2">
      <c r="A100" s="6" t="s">
        <v>158</v>
      </c>
      <c r="B100" s="7">
        <v>-1859.32</v>
      </c>
      <c r="C100" s="15" t="s">
        <v>282</v>
      </c>
    </row>
    <row r="101" spans="1:3" ht="10.95" customHeight="1" x14ac:dyDescent="0.2">
      <c r="A101" s="6" t="s">
        <v>206</v>
      </c>
      <c r="B101" s="7">
        <v>-1818</v>
      </c>
      <c r="C101" s="15" t="s">
        <v>282</v>
      </c>
    </row>
    <row r="102" spans="1:3" ht="10.95" customHeight="1" x14ac:dyDescent="0.2">
      <c r="A102" s="6" t="s">
        <v>85</v>
      </c>
      <c r="B102" s="7">
        <v>-1803.58</v>
      </c>
      <c r="C102" s="15" t="s">
        <v>282</v>
      </c>
    </row>
    <row r="103" spans="1:3" ht="10.95" customHeight="1" x14ac:dyDescent="0.2">
      <c r="A103" s="6" t="s">
        <v>45</v>
      </c>
      <c r="B103" s="7">
        <v>-1796.56</v>
      </c>
      <c r="C103" s="15" t="s">
        <v>282</v>
      </c>
    </row>
    <row r="104" spans="1:3" ht="10.95" customHeight="1" x14ac:dyDescent="0.2">
      <c r="A104" s="6" t="s">
        <v>65</v>
      </c>
      <c r="B104" s="7">
        <v>-1680.73</v>
      </c>
      <c r="C104" s="15" t="s">
        <v>283</v>
      </c>
    </row>
    <row r="105" spans="1:3" ht="10.95" customHeight="1" x14ac:dyDescent="0.2">
      <c r="A105" s="6" t="s">
        <v>40</v>
      </c>
      <c r="B105" s="7">
        <v>-1642.72</v>
      </c>
      <c r="C105" s="15" t="s">
        <v>282</v>
      </c>
    </row>
    <row r="106" spans="1:3" ht="10.95" customHeight="1" x14ac:dyDescent="0.2">
      <c r="A106" s="6" t="s">
        <v>79</v>
      </c>
      <c r="B106" s="7">
        <v>-1600.17</v>
      </c>
      <c r="C106" s="15" t="s">
        <v>282</v>
      </c>
    </row>
    <row r="107" spans="1:3" ht="10.95" customHeight="1" x14ac:dyDescent="0.2">
      <c r="A107" s="6" t="s">
        <v>5</v>
      </c>
      <c r="B107" s="7">
        <v>-1549.74</v>
      </c>
      <c r="C107" s="15" t="s">
        <v>283</v>
      </c>
    </row>
    <row r="108" spans="1:3" ht="10.95" customHeight="1" x14ac:dyDescent="0.2">
      <c r="A108" s="6" t="s">
        <v>201</v>
      </c>
      <c r="B108" s="7">
        <v>-1545.46</v>
      </c>
      <c r="C108" s="15" t="s">
        <v>283</v>
      </c>
    </row>
    <row r="109" spans="1:3" ht="10.95" customHeight="1" x14ac:dyDescent="0.2">
      <c r="A109" s="6" t="s">
        <v>120</v>
      </c>
      <c r="B109" s="7">
        <v>-1541</v>
      </c>
      <c r="C109" s="15" t="s">
        <v>282</v>
      </c>
    </row>
    <row r="110" spans="1:3" ht="10.95" customHeight="1" x14ac:dyDescent="0.2">
      <c r="A110" s="6" t="s">
        <v>54</v>
      </c>
      <c r="B110" s="7">
        <v>-1481.35</v>
      </c>
      <c r="C110" s="15" t="s">
        <v>283</v>
      </c>
    </row>
    <row r="111" spans="1:3" ht="10.95" customHeight="1" x14ac:dyDescent="0.2">
      <c r="A111" s="6" t="s">
        <v>154</v>
      </c>
      <c r="B111" s="7">
        <v>-1477.27</v>
      </c>
      <c r="C111" s="15" t="s">
        <v>282</v>
      </c>
    </row>
    <row r="112" spans="1:3" ht="10.95" customHeight="1" x14ac:dyDescent="0.2">
      <c r="A112" s="6" t="s">
        <v>203</v>
      </c>
      <c r="B112" s="7">
        <v>-1464.6</v>
      </c>
      <c r="C112" s="15" t="s">
        <v>283</v>
      </c>
    </row>
    <row r="113" spans="1:3" ht="10.95" customHeight="1" x14ac:dyDescent="0.2">
      <c r="A113" s="6" t="s">
        <v>124</v>
      </c>
      <c r="B113" s="7">
        <v>-1448.18</v>
      </c>
      <c r="C113" s="15" t="s">
        <v>283</v>
      </c>
    </row>
    <row r="114" spans="1:3" ht="10.95" customHeight="1" x14ac:dyDescent="0.2">
      <c r="A114" s="6" t="s">
        <v>39</v>
      </c>
      <c r="B114" s="7">
        <v>-1394.54</v>
      </c>
      <c r="C114" s="15" t="s">
        <v>282</v>
      </c>
    </row>
    <row r="115" spans="1:3" ht="10.95" customHeight="1" x14ac:dyDescent="0.2">
      <c r="A115" s="6" t="s">
        <v>105</v>
      </c>
      <c r="B115" s="7">
        <v>-1368.5</v>
      </c>
      <c r="C115" s="15" t="s">
        <v>282</v>
      </c>
    </row>
    <row r="116" spans="1:3" ht="10.95" customHeight="1" x14ac:dyDescent="0.2">
      <c r="A116" s="6" t="s">
        <v>180</v>
      </c>
      <c r="B116" s="7">
        <v>-1356.65</v>
      </c>
      <c r="C116" s="15" t="s">
        <v>282</v>
      </c>
    </row>
    <row r="117" spans="1:3" ht="10.95" customHeight="1" x14ac:dyDescent="0.2">
      <c r="A117" s="6" t="s">
        <v>20</v>
      </c>
      <c r="B117" s="7">
        <v>-1347.5</v>
      </c>
      <c r="C117" s="15" t="s">
        <v>283</v>
      </c>
    </row>
    <row r="118" spans="1:3" ht="10.95" customHeight="1" x14ac:dyDescent="0.2">
      <c r="A118" s="6" t="s">
        <v>62</v>
      </c>
      <c r="B118" s="7">
        <v>-1320</v>
      </c>
      <c r="C118" s="15" t="s">
        <v>283</v>
      </c>
    </row>
    <row r="119" spans="1:3" ht="10.95" customHeight="1" x14ac:dyDescent="0.2">
      <c r="A119" s="6" t="s">
        <v>183</v>
      </c>
      <c r="B119" s="7">
        <v>-1234.57</v>
      </c>
      <c r="C119" s="15" t="s">
        <v>282</v>
      </c>
    </row>
    <row r="120" spans="1:3" ht="10.95" customHeight="1" x14ac:dyDescent="0.2">
      <c r="A120" s="6" t="s">
        <v>169</v>
      </c>
      <c r="B120" s="7">
        <v>-1210.9100000000001</v>
      </c>
      <c r="C120" s="15" t="s">
        <v>282</v>
      </c>
    </row>
    <row r="121" spans="1:3" ht="10.95" customHeight="1" x14ac:dyDescent="0.2">
      <c r="A121" s="6" t="s">
        <v>248</v>
      </c>
      <c r="B121" s="7">
        <v>-1207.2</v>
      </c>
      <c r="C121" s="15" t="s">
        <v>282</v>
      </c>
    </row>
    <row r="122" spans="1:3" ht="10.95" customHeight="1" x14ac:dyDescent="0.2">
      <c r="A122" s="6" t="s">
        <v>242</v>
      </c>
      <c r="B122" s="7">
        <v>-1124.3</v>
      </c>
      <c r="C122" s="15" t="s">
        <v>282</v>
      </c>
    </row>
    <row r="123" spans="1:3" ht="10.95" customHeight="1" x14ac:dyDescent="0.2">
      <c r="A123" s="6" t="s">
        <v>125</v>
      </c>
      <c r="B123" s="7">
        <v>-1070</v>
      </c>
      <c r="C123" s="15" t="s">
        <v>282</v>
      </c>
    </row>
    <row r="124" spans="1:3" ht="10.95" customHeight="1" x14ac:dyDescent="0.2">
      <c r="A124" s="6" t="s">
        <v>80</v>
      </c>
      <c r="B124" s="7">
        <v>-1011.65</v>
      </c>
      <c r="C124" s="15" t="s">
        <v>283</v>
      </c>
    </row>
    <row r="125" spans="1:3" ht="10.95" customHeight="1" x14ac:dyDescent="0.2">
      <c r="A125" s="6" t="s">
        <v>155</v>
      </c>
      <c r="B125" s="7">
        <v>-987.36</v>
      </c>
      <c r="C125" s="15" t="s">
        <v>282</v>
      </c>
    </row>
    <row r="126" spans="1:3" ht="10.95" customHeight="1" x14ac:dyDescent="0.2">
      <c r="A126" s="6" t="s">
        <v>70</v>
      </c>
      <c r="B126" s="7">
        <v>-936</v>
      </c>
      <c r="C126" s="15" t="s">
        <v>282</v>
      </c>
    </row>
    <row r="127" spans="1:3" ht="10.95" customHeight="1" x14ac:dyDescent="0.2">
      <c r="A127" s="6" t="s">
        <v>66</v>
      </c>
      <c r="B127" s="7">
        <v>-919</v>
      </c>
      <c r="C127" s="15" t="s">
        <v>283</v>
      </c>
    </row>
    <row r="128" spans="1:3" ht="10.95" customHeight="1" x14ac:dyDescent="0.2">
      <c r="A128" s="6" t="s">
        <v>137</v>
      </c>
      <c r="B128" s="7">
        <v>-879.74</v>
      </c>
      <c r="C128" s="15" t="s">
        <v>282</v>
      </c>
    </row>
    <row r="129" spans="1:3" ht="10.95" customHeight="1" x14ac:dyDescent="0.2">
      <c r="A129" s="6" t="s">
        <v>116</v>
      </c>
      <c r="B129" s="7">
        <v>-875</v>
      </c>
      <c r="C129" s="15" t="s">
        <v>282</v>
      </c>
    </row>
    <row r="130" spans="1:3" ht="10.95" customHeight="1" x14ac:dyDescent="0.2">
      <c r="A130" s="6" t="s">
        <v>185</v>
      </c>
      <c r="B130" s="7">
        <v>-855</v>
      </c>
      <c r="C130" s="15" t="s">
        <v>282</v>
      </c>
    </row>
    <row r="131" spans="1:3" ht="10.95" customHeight="1" x14ac:dyDescent="0.2">
      <c r="A131" s="6" t="s">
        <v>265</v>
      </c>
      <c r="B131" s="7">
        <v>-840</v>
      </c>
      <c r="C131" s="15" t="s">
        <v>283</v>
      </c>
    </row>
    <row r="132" spans="1:3" ht="10.95" customHeight="1" x14ac:dyDescent="0.2">
      <c r="A132" s="6" t="s">
        <v>123</v>
      </c>
      <c r="B132" s="7">
        <v>-836.75</v>
      </c>
      <c r="C132" s="15" t="s">
        <v>283</v>
      </c>
    </row>
    <row r="133" spans="1:3" ht="10.95" customHeight="1" x14ac:dyDescent="0.2">
      <c r="A133" s="6" t="s">
        <v>60</v>
      </c>
      <c r="B133" s="7">
        <v>-821.72</v>
      </c>
      <c r="C133" s="15" t="s">
        <v>283</v>
      </c>
    </row>
    <row r="134" spans="1:3" ht="10.95" customHeight="1" x14ac:dyDescent="0.2">
      <c r="A134" s="6" t="s">
        <v>224</v>
      </c>
      <c r="B134" s="7">
        <v>-760.73</v>
      </c>
      <c r="C134" s="15" t="s">
        <v>283</v>
      </c>
    </row>
    <row r="135" spans="1:3" ht="10.95" customHeight="1" x14ac:dyDescent="0.2">
      <c r="A135" s="6" t="s">
        <v>48</v>
      </c>
      <c r="B135" s="7">
        <v>-720.73</v>
      </c>
      <c r="C135" s="15" t="s">
        <v>283</v>
      </c>
    </row>
    <row r="136" spans="1:3" ht="10.95" customHeight="1" x14ac:dyDescent="0.2">
      <c r="A136" s="6" t="s">
        <v>157</v>
      </c>
      <c r="B136" s="7">
        <v>-696</v>
      </c>
      <c r="C136" s="15" t="s">
        <v>282</v>
      </c>
    </row>
    <row r="137" spans="1:3" ht="10.95" customHeight="1" x14ac:dyDescent="0.2">
      <c r="A137" s="6" t="s">
        <v>210</v>
      </c>
      <c r="B137" s="7">
        <v>-687.26</v>
      </c>
      <c r="C137" s="15" t="s">
        <v>283</v>
      </c>
    </row>
    <row r="138" spans="1:3" ht="10.95" customHeight="1" x14ac:dyDescent="0.2">
      <c r="A138" s="6" t="s">
        <v>273</v>
      </c>
      <c r="B138" s="7">
        <v>-684.87</v>
      </c>
      <c r="C138" s="15" t="s">
        <v>283</v>
      </c>
    </row>
    <row r="139" spans="1:3" ht="10.95" customHeight="1" x14ac:dyDescent="0.2">
      <c r="A139" s="6" t="s">
        <v>29</v>
      </c>
      <c r="B139" s="7">
        <v>-653.5</v>
      </c>
      <c r="C139" s="15" t="s">
        <v>282</v>
      </c>
    </row>
    <row r="140" spans="1:3" ht="10.95" customHeight="1" x14ac:dyDescent="0.2">
      <c r="A140" s="6" t="s">
        <v>168</v>
      </c>
      <c r="B140" s="7">
        <v>-653</v>
      </c>
      <c r="C140" s="15" t="s">
        <v>283</v>
      </c>
    </row>
    <row r="141" spans="1:3" ht="10.95" customHeight="1" x14ac:dyDescent="0.2">
      <c r="A141" s="6" t="s">
        <v>114</v>
      </c>
      <c r="B141" s="7">
        <v>-651</v>
      </c>
      <c r="C141" s="15" t="s">
        <v>282</v>
      </c>
    </row>
    <row r="142" spans="1:3" ht="10.95" customHeight="1" x14ac:dyDescent="0.2">
      <c r="A142" s="6" t="s">
        <v>49</v>
      </c>
      <c r="B142" s="7">
        <v>-622.4</v>
      </c>
      <c r="C142" s="15" t="s">
        <v>283</v>
      </c>
    </row>
    <row r="143" spans="1:3" ht="10.95" customHeight="1" x14ac:dyDescent="0.2">
      <c r="A143" s="6" t="s">
        <v>271</v>
      </c>
      <c r="B143" s="7">
        <v>-608.80999999999995</v>
      </c>
      <c r="C143" s="15" t="s">
        <v>282</v>
      </c>
    </row>
    <row r="144" spans="1:3" ht="10.95" customHeight="1" x14ac:dyDescent="0.2">
      <c r="A144" s="6" t="s">
        <v>167</v>
      </c>
      <c r="B144" s="7">
        <v>-585.54999999999995</v>
      </c>
      <c r="C144" s="15" t="s">
        <v>283</v>
      </c>
    </row>
    <row r="145" spans="1:3" ht="10.95" customHeight="1" x14ac:dyDescent="0.2">
      <c r="A145" s="6" t="s">
        <v>227</v>
      </c>
      <c r="B145" s="7">
        <v>-580</v>
      </c>
      <c r="C145" s="15" t="s">
        <v>283</v>
      </c>
    </row>
    <row r="146" spans="1:3" ht="10.95" customHeight="1" x14ac:dyDescent="0.2">
      <c r="A146" s="6" t="s">
        <v>131</v>
      </c>
      <c r="B146" s="7">
        <v>-565.45000000000005</v>
      </c>
      <c r="C146" s="15" t="s">
        <v>283</v>
      </c>
    </row>
    <row r="147" spans="1:3" ht="10.95" customHeight="1" x14ac:dyDescent="0.2">
      <c r="A147" s="6" t="s">
        <v>220</v>
      </c>
      <c r="B147" s="7">
        <v>-537.1</v>
      </c>
      <c r="C147" s="15" t="s">
        <v>282</v>
      </c>
    </row>
    <row r="148" spans="1:3" ht="10.95" customHeight="1" x14ac:dyDescent="0.2">
      <c r="A148" s="6" t="s">
        <v>44</v>
      </c>
      <c r="B148" s="7">
        <v>-534.54</v>
      </c>
      <c r="C148" s="15" t="s">
        <v>283</v>
      </c>
    </row>
    <row r="149" spans="1:3" ht="10.95" customHeight="1" x14ac:dyDescent="0.2">
      <c r="A149" s="6" t="s">
        <v>229</v>
      </c>
      <c r="B149" s="7">
        <v>-530.5</v>
      </c>
      <c r="C149" s="15" t="s">
        <v>282</v>
      </c>
    </row>
    <row r="150" spans="1:3" ht="10.95" customHeight="1" x14ac:dyDescent="0.2">
      <c r="A150" s="6" t="s">
        <v>41</v>
      </c>
      <c r="B150" s="7">
        <v>-491.4</v>
      </c>
      <c r="C150" s="15" t="s">
        <v>282</v>
      </c>
    </row>
    <row r="151" spans="1:3" ht="10.95" customHeight="1" x14ac:dyDescent="0.2">
      <c r="A151" s="6" t="s">
        <v>193</v>
      </c>
      <c r="B151" s="7">
        <v>-468.05</v>
      </c>
      <c r="C151" s="15" t="s">
        <v>283</v>
      </c>
    </row>
    <row r="152" spans="1:3" ht="10.95" customHeight="1" x14ac:dyDescent="0.2">
      <c r="A152" s="6" t="s">
        <v>143</v>
      </c>
      <c r="B152" s="7">
        <v>-457.03</v>
      </c>
      <c r="C152" s="15" t="s">
        <v>283</v>
      </c>
    </row>
    <row r="153" spans="1:3" ht="10.95" customHeight="1" x14ac:dyDescent="0.2">
      <c r="A153" s="6" t="s">
        <v>245</v>
      </c>
      <c r="B153" s="7">
        <v>-456.5</v>
      </c>
      <c r="C153" s="15" t="s">
        <v>282</v>
      </c>
    </row>
    <row r="154" spans="1:3" ht="10.95" customHeight="1" x14ac:dyDescent="0.2">
      <c r="A154" s="6" t="s">
        <v>247</v>
      </c>
      <c r="B154" s="7">
        <v>-456</v>
      </c>
      <c r="C154" s="15" t="s">
        <v>282</v>
      </c>
    </row>
    <row r="155" spans="1:3" ht="10.95" customHeight="1" x14ac:dyDescent="0.2">
      <c r="A155" s="6" t="s">
        <v>176</v>
      </c>
      <c r="B155" s="7">
        <v>-425</v>
      </c>
      <c r="C155" s="15" t="s">
        <v>283</v>
      </c>
    </row>
    <row r="156" spans="1:3" ht="10.95" customHeight="1" x14ac:dyDescent="0.2">
      <c r="A156" s="6" t="s">
        <v>186</v>
      </c>
      <c r="B156" s="7">
        <v>-421.1</v>
      </c>
      <c r="C156" s="15" t="s">
        <v>282</v>
      </c>
    </row>
    <row r="157" spans="1:3" ht="10.95" customHeight="1" x14ac:dyDescent="0.2">
      <c r="A157" s="6" t="s">
        <v>102</v>
      </c>
      <c r="B157" s="7">
        <v>-410</v>
      </c>
      <c r="C157" s="15" t="s">
        <v>283</v>
      </c>
    </row>
    <row r="158" spans="1:3" ht="10.95" customHeight="1" x14ac:dyDescent="0.2">
      <c r="A158" s="6" t="s">
        <v>258</v>
      </c>
      <c r="B158" s="7">
        <v>-408.02</v>
      </c>
      <c r="C158" s="15" t="s">
        <v>283</v>
      </c>
    </row>
    <row r="159" spans="1:3" ht="10.95" customHeight="1" x14ac:dyDescent="0.2">
      <c r="A159" s="6" t="s">
        <v>222</v>
      </c>
      <c r="B159" s="7">
        <v>-397.15</v>
      </c>
      <c r="C159" s="15" t="s">
        <v>282</v>
      </c>
    </row>
    <row r="160" spans="1:3" ht="10.95" customHeight="1" x14ac:dyDescent="0.2">
      <c r="A160" s="6" t="s">
        <v>208</v>
      </c>
      <c r="B160" s="7">
        <v>-380</v>
      </c>
      <c r="C160" s="15" t="s">
        <v>283</v>
      </c>
    </row>
    <row r="161" spans="1:3" ht="10.95" customHeight="1" x14ac:dyDescent="0.2">
      <c r="A161" s="6" t="s">
        <v>84</v>
      </c>
      <c r="B161" s="7">
        <v>-365.6</v>
      </c>
      <c r="C161" s="15" t="s">
        <v>282</v>
      </c>
    </row>
    <row r="162" spans="1:3" ht="10.95" customHeight="1" x14ac:dyDescent="0.2">
      <c r="A162" s="6" t="s">
        <v>130</v>
      </c>
      <c r="B162" s="7">
        <v>-361.82</v>
      </c>
      <c r="C162" s="15" t="s">
        <v>283</v>
      </c>
    </row>
    <row r="163" spans="1:3" ht="10.95" customHeight="1" x14ac:dyDescent="0.2">
      <c r="A163" s="6" t="s">
        <v>37</v>
      </c>
      <c r="B163" s="7">
        <v>-350.2</v>
      </c>
      <c r="C163" s="15" t="s">
        <v>283</v>
      </c>
    </row>
    <row r="164" spans="1:3" ht="10.95" customHeight="1" x14ac:dyDescent="0.2">
      <c r="A164" s="6" t="s">
        <v>115</v>
      </c>
      <c r="B164" s="7">
        <v>-350</v>
      </c>
      <c r="C164" s="15" t="s">
        <v>282</v>
      </c>
    </row>
    <row r="165" spans="1:3" ht="10.95" customHeight="1" x14ac:dyDescent="0.2">
      <c r="A165" s="6" t="s">
        <v>195</v>
      </c>
      <c r="B165" s="7">
        <v>-340.2</v>
      </c>
      <c r="C165" s="15" t="s">
        <v>282</v>
      </c>
    </row>
    <row r="166" spans="1:3" ht="10.95" customHeight="1" x14ac:dyDescent="0.2">
      <c r="A166" s="6" t="s">
        <v>160</v>
      </c>
      <c r="B166" s="7">
        <v>-324.64</v>
      </c>
      <c r="C166" s="15" t="s">
        <v>283</v>
      </c>
    </row>
    <row r="167" spans="1:3" ht="10.95" customHeight="1" x14ac:dyDescent="0.2">
      <c r="A167" s="6" t="s">
        <v>12</v>
      </c>
      <c r="B167" s="7">
        <v>-323.88</v>
      </c>
      <c r="C167" s="15" t="s">
        <v>283</v>
      </c>
    </row>
    <row r="168" spans="1:3" ht="10.95" customHeight="1" x14ac:dyDescent="0.2">
      <c r="A168" s="6" t="s">
        <v>42</v>
      </c>
      <c r="B168" s="7">
        <v>-323.10000000000002</v>
      </c>
      <c r="C168" s="15" t="s">
        <v>282</v>
      </c>
    </row>
    <row r="169" spans="1:3" ht="10.95" customHeight="1" x14ac:dyDescent="0.2">
      <c r="A169" s="6" t="s">
        <v>19</v>
      </c>
      <c r="B169" s="7">
        <v>-321</v>
      </c>
      <c r="C169" s="15" t="s">
        <v>283</v>
      </c>
    </row>
    <row r="170" spans="1:3" ht="10.95" customHeight="1" x14ac:dyDescent="0.2">
      <c r="A170" s="6" t="s">
        <v>132</v>
      </c>
      <c r="B170" s="7">
        <v>-301</v>
      </c>
      <c r="C170" s="15" t="s">
        <v>283</v>
      </c>
    </row>
    <row r="171" spans="1:3" ht="10.95" customHeight="1" x14ac:dyDescent="0.2">
      <c r="A171" s="6" t="s">
        <v>82</v>
      </c>
      <c r="B171" s="7">
        <v>-300</v>
      </c>
      <c r="C171" s="15" t="s">
        <v>282</v>
      </c>
    </row>
    <row r="172" spans="1:3" ht="10.95" customHeight="1" x14ac:dyDescent="0.2">
      <c r="A172" s="6" t="s">
        <v>150</v>
      </c>
      <c r="B172" s="7">
        <v>-295</v>
      </c>
      <c r="C172" s="15" t="s">
        <v>282</v>
      </c>
    </row>
    <row r="173" spans="1:3" ht="10.95" customHeight="1" x14ac:dyDescent="0.2">
      <c r="A173" s="6" t="s">
        <v>78</v>
      </c>
      <c r="B173" s="7">
        <v>-294.55</v>
      </c>
      <c r="C173" s="15" t="s">
        <v>282</v>
      </c>
    </row>
    <row r="174" spans="1:3" ht="10.95" customHeight="1" x14ac:dyDescent="0.2">
      <c r="A174" s="6" t="s">
        <v>73</v>
      </c>
      <c r="B174" s="7">
        <v>-291.85000000000002</v>
      </c>
      <c r="C174" s="15" t="s">
        <v>283</v>
      </c>
    </row>
    <row r="175" spans="1:3" ht="10.95" customHeight="1" x14ac:dyDescent="0.2">
      <c r="A175" s="6" t="s">
        <v>163</v>
      </c>
      <c r="B175" s="7">
        <v>-285</v>
      </c>
      <c r="C175" s="15" t="s">
        <v>283</v>
      </c>
    </row>
    <row r="176" spans="1:3" ht="10.95" customHeight="1" x14ac:dyDescent="0.2">
      <c r="A176" s="6" t="s">
        <v>117</v>
      </c>
      <c r="B176" s="7">
        <v>-281.5</v>
      </c>
      <c r="C176" s="15" t="s">
        <v>282</v>
      </c>
    </row>
    <row r="177" spans="1:3" ht="10.95" customHeight="1" x14ac:dyDescent="0.2">
      <c r="A177" s="6" t="s">
        <v>101</v>
      </c>
      <c r="B177" s="7">
        <v>-278.64</v>
      </c>
      <c r="C177" s="15" t="s">
        <v>282</v>
      </c>
    </row>
    <row r="178" spans="1:3" ht="10.95" customHeight="1" x14ac:dyDescent="0.2">
      <c r="A178" s="6" t="s">
        <v>104</v>
      </c>
      <c r="B178" s="7">
        <v>-274.45</v>
      </c>
      <c r="C178" s="15" t="s">
        <v>283</v>
      </c>
    </row>
    <row r="179" spans="1:3" ht="10.95" customHeight="1" x14ac:dyDescent="0.2">
      <c r="A179" s="6" t="s">
        <v>159</v>
      </c>
      <c r="B179" s="7">
        <v>-265.2</v>
      </c>
      <c r="C179" s="15" t="s">
        <v>283</v>
      </c>
    </row>
    <row r="180" spans="1:3" ht="10.95" customHeight="1" x14ac:dyDescent="0.2">
      <c r="A180" s="6" t="s">
        <v>126</v>
      </c>
      <c r="B180" s="7">
        <v>-261</v>
      </c>
      <c r="C180" s="15" t="s">
        <v>283</v>
      </c>
    </row>
    <row r="181" spans="1:3" ht="10.95" customHeight="1" x14ac:dyDescent="0.2">
      <c r="A181" s="6" t="s">
        <v>153</v>
      </c>
      <c r="B181" s="7">
        <v>-259.74</v>
      </c>
      <c r="C181" s="15" t="s">
        <v>283</v>
      </c>
    </row>
    <row r="182" spans="1:3" ht="10.95" customHeight="1" x14ac:dyDescent="0.2">
      <c r="A182" s="6" t="s">
        <v>47</v>
      </c>
      <c r="B182" s="7">
        <v>-250</v>
      </c>
      <c r="C182" s="15" t="s">
        <v>283</v>
      </c>
    </row>
    <row r="183" spans="1:3" ht="10.95" customHeight="1" x14ac:dyDescent="0.2">
      <c r="A183" s="6" t="s">
        <v>263</v>
      </c>
      <c r="B183" s="7">
        <v>-248</v>
      </c>
      <c r="C183" s="15" t="s">
        <v>282</v>
      </c>
    </row>
    <row r="184" spans="1:3" ht="10.95" customHeight="1" x14ac:dyDescent="0.2">
      <c r="A184" s="6" t="s">
        <v>134</v>
      </c>
      <c r="B184" s="7">
        <v>-247</v>
      </c>
      <c r="C184" s="15" t="s">
        <v>282</v>
      </c>
    </row>
    <row r="185" spans="1:3" ht="10.95" customHeight="1" x14ac:dyDescent="0.2">
      <c r="A185" s="6" t="s">
        <v>127</v>
      </c>
      <c r="B185" s="7">
        <v>-241.3</v>
      </c>
      <c r="C185" s="15" t="s">
        <v>282</v>
      </c>
    </row>
    <row r="186" spans="1:3" ht="10.95" customHeight="1" x14ac:dyDescent="0.2">
      <c r="A186" s="6" t="s">
        <v>215</v>
      </c>
      <c r="B186" s="7">
        <v>-239.34</v>
      </c>
      <c r="C186" s="15" t="s">
        <v>283</v>
      </c>
    </row>
    <row r="187" spans="1:3" ht="10.95" customHeight="1" x14ac:dyDescent="0.2">
      <c r="A187" s="6" t="s">
        <v>272</v>
      </c>
      <c r="B187" s="7">
        <v>-233.76</v>
      </c>
      <c r="C187" s="15" t="s">
        <v>283</v>
      </c>
    </row>
    <row r="188" spans="1:3" ht="10.95" customHeight="1" x14ac:dyDescent="0.2">
      <c r="A188" s="6" t="s">
        <v>278</v>
      </c>
      <c r="B188" s="7">
        <v>-226.8</v>
      </c>
      <c r="C188" s="15" t="s">
        <v>282</v>
      </c>
    </row>
    <row r="189" spans="1:3" ht="10.95" customHeight="1" x14ac:dyDescent="0.2">
      <c r="A189" s="6" t="s">
        <v>33</v>
      </c>
      <c r="B189" s="7">
        <v>-221.36</v>
      </c>
      <c r="C189" s="15" t="s">
        <v>283</v>
      </c>
    </row>
    <row r="190" spans="1:3" ht="10.95" customHeight="1" x14ac:dyDescent="0.2">
      <c r="A190" s="6" t="s">
        <v>211</v>
      </c>
      <c r="B190" s="7">
        <v>-219.12</v>
      </c>
      <c r="C190" s="15" t="s">
        <v>283</v>
      </c>
    </row>
    <row r="191" spans="1:3" ht="10.95" customHeight="1" x14ac:dyDescent="0.2">
      <c r="A191" s="6" t="s">
        <v>119</v>
      </c>
      <c r="B191" s="7">
        <v>-218.16</v>
      </c>
      <c r="C191" s="15" t="s">
        <v>283</v>
      </c>
    </row>
    <row r="192" spans="1:3" ht="10.95" customHeight="1" x14ac:dyDescent="0.2">
      <c r="A192" s="6" t="s">
        <v>52</v>
      </c>
      <c r="B192" s="7">
        <v>-187.51</v>
      </c>
      <c r="C192" s="15" t="s">
        <v>283</v>
      </c>
    </row>
    <row r="193" spans="1:3" ht="10.95" customHeight="1" x14ac:dyDescent="0.2">
      <c r="A193" s="6" t="s">
        <v>225</v>
      </c>
      <c r="B193" s="7">
        <v>-184.31</v>
      </c>
      <c r="C193" s="15" t="s">
        <v>283</v>
      </c>
    </row>
    <row r="194" spans="1:3" ht="10.95" customHeight="1" x14ac:dyDescent="0.2">
      <c r="A194" s="6" t="s">
        <v>90</v>
      </c>
      <c r="B194" s="7">
        <v>-181</v>
      </c>
      <c r="C194" s="15" t="s">
        <v>282</v>
      </c>
    </row>
    <row r="195" spans="1:3" ht="10.95" customHeight="1" x14ac:dyDescent="0.2">
      <c r="A195" s="6" t="s">
        <v>72</v>
      </c>
      <c r="B195" s="7">
        <v>-180.91</v>
      </c>
      <c r="C195" s="15" t="s">
        <v>283</v>
      </c>
    </row>
    <row r="196" spans="1:3" ht="10.95" customHeight="1" x14ac:dyDescent="0.2">
      <c r="A196" s="6" t="s">
        <v>249</v>
      </c>
      <c r="B196" s="7">
        <v>-175.1</v>
      </c>
      <c r="C196" s="15" t="s">
        <v>283</v>
      </c>
    </row>
    <row r="197" spans="1:3" ht="10.95" customHeight="1" x14ac:dyDescent="0.2">
      <c r="A197" s="6" t="s">
        <v>88</v>
      </c>
      <c r="B197" s="7">
        <v>-175</v>
      </c>
      <c r="C197" s="15" t="s">
        <v>282</v>
      </c>
    </row>
    <row r="198" spans="1:3" ht="10.95" customHeight="1" x14ac:dyDescent="0.2">
      <c r="A198" s="6" t="s">
        <v>270</v>
      </c>
      <c r="B198" s="7">
        <v>-167.94</v>
      </c>
      <c r="C198" s="15" t="s">
        <v>283</v>
      </c>
    </row>
    <row r="199" spans="1:3" ht="10.95" customHeight="1" x14ac:dyDescent="0.2">
      <c r="A199" s="6" t="s">
        <v>68</v>
      </c>
      <c r="B199" s="7">
        <v>-159.09</v>
      </c>
      <c r="C199" s="15" t="s">
        <v>282</v>
      </c>
    </row>
    <row r="200" spans="1:3" ht="10.95" customHeight="1" x14ac:dyDescent="0.2">
      <c r="A200" s="6" t="s">
        <v>107</v>
      </c>
      <c r="B200" s="7">
        <v>-158.33000000000001</v>
      </c>
      <c r="C200" s="15" t="s">
        <v>282</v>
      </c>
    </row>
    <row r="201" spans="1:3" ht="10.95" customHeight="1" x14ac:dyDescent="0.2">
      <c r="A201" s="6" t="s">
        <v>15</v>
      </c>
      <c r="B201" s="7">
        <v>-153.4</v>
      </c>
      <c r="C201" s="15" t="s">
        <v>282</v>
      </c>
    </row>
    <row r="202" spans="1:3" ht="10.95" customHeight="1" x14ac:dyDescent="0.2">
      <c r="A202" s="6" t="s">
        <v>94</v>
      </c>
      <c r="B202" s="7">
        <v>-147.28</v>
      </c>
      <c r="C202" s="15" t="s">
        <v>282</v>
      </c>
    </row>
    <row r="203" spans="1:3" ht="10.95" customHeight="1" x14ac:dyDescent="0.2">
      <c r="A203" s="6" t="s">
        <v>112</v>
      </c>
      <c r="B203" s="7">
        <v>-144.15</v>
      </c>
      <c r="C203" s="15" t="s">
        <v>282</v>
      </c>
    </row>
    <row r="204" spans="1:3" ht="10.95" customHeight="1" x14ac:dyDescent="0.2">
      <c r="A204" s="6" t="s">
        <v>164</v>
      </c>
      <c r="B204" s="7">
        <v>-143.69999999999999</v>
      </c>
      <c r="C204" s="15" t="s">
        <v>282</v>
      </c>
    </row>
    <row r="205" spans="1:3" ht="10.95" customHeight="1" x14ac:dyDescent="0.2">
      <c r="A205" s="6" t="s">
        <v>22</v>
      </c>
      <c r="B205" s="7">
        <v>-142.96</v>
      </c>
      <c r="C205" s="15" t="s">
        <v>283</v>
      </c>
    </row>
    <row r="206" spans="1:3" ht="10.95" customHeight="1" x14ac:dyDescent="0.2">
      <c r="A206" s="6" t="s">
        <v>269</v>
      </c>
      <c r="B206" s="7">
        <v>-135</v>
      </c>
      <c r="C206" s="15" t="s">
        <v>283</v>
      </c>
    </row>
    <row r="207" spans="1:3" ht="10.95" customHeight="1" x14ac:dyDescent="0.2">
      <c r="A207" s="6" t="s">
        <v>181</v>
      </c>
      <c r="B207" s="7">
        <v>-130</v>
      </c>
      <c r="C207" s="15" t="s">
        <v>283</v>
      </c>
    </row>
    <row r="208" spans="1:3" ht="10.95" customHeight="1" x14ac:dyDescent="0.2">
      <c r="A208" s="6" t="s">
        <v>182</v>
      </c>
      <c r="B208" s="7">
        <v>-130</v>
      </c>
      <c r="C208" s="15" t="s">
        <v>283</v>
      </c>
    </row>
    <row r="209" spans="1:3" ht="10.95" customHeight="1" x14ac:dyDescent="0.2">
      <c r="A209" s="6" t="s">
        <v>268</v>
      </c>
      <c r="B209" s="7">
        <v>-127.28</v>
      </c>
      <c r="C209" s="15" t="s">
        <v>283</v>
      </c>
    </row>
    <row r="210" spans="1:3" ht="10.95" customHeight="1" x14ac:dyDescent="0.2">
      <c r="A210" s="6" t="s">
        <v>63</v>
      </c>
      <c r="B210" s="7">
        <v>-125</v>
      </c>
      <c r="C210" s="15" t="s">
        <v>283</v>
      </c>
    </row>
    <row r="211" spans="1:3" ht="10.95" customHeight="1" x14ac:dyDescent="0.2">
      <c r="A211" s="6" t="s">
        <v>128</v>
      </c>
      <c r="B211" s="7">
        <v>-113.95</v>
      </c>
      <c r="C211" s="15" t="s">
        <v>282</v>
      </c>
    </row>
    <row r="212" spans="1:3" ht="10.95" customHeight="1" x14ac:dyDescent="0.2">
      <c r="A212" s="6" t="s">
        <v>8</v>
      </c>
      <c r="B212" s="7">
        <v>-113.65</v>
      </c>
      <c r="C212" s="15" t="s">
        <v>283</v>
      </c>
    </row>
    <row r="213" spans="1:3" ht="10.95" customHeight="1" x14ac:dyDescent="0.2">
      <c r="A213" s="6" t="s">
        <v>108</v>
      </c>
      <c r="B213" s="7">
        <v>-111.36</v>
      </c>
      <c r="C213" s="15" t="s">
        <v>282</v>
      </c>
    </row>
    <row r="214" spans="1:3" ht="10.95" customHeight="1" x14ac:dyDescent="0.2">
      <c r="A214" s="6" t="s">
        <v>142</v>
      </c>
      <c r="B214" s="7">
        <v>-110.85</v>
      </c>
      <c r="C214" s="15" t="s">
        <v>282</v>
      </c>
    </row>
    <row r="215" spans="1:3" ht="10.95" customHeight="1" x14ac:dyDescent="0.2">
      <c r="A215" s="6" t="s">
        <v>99</v>
      </c>
      <c r="B215" s="7">
        <v>-100.8</v>
      </c>
      <c r="C215" s="15" t="s">
        <v>283</v>
      </c>
    </row>
    <row r="216" spans="1:3" ht="10.95" customHeight="1" x14ac:dyDescent="0.2">
      <c r="A216" s="6" t="s">
        <v>230</v>
      </c>
      <c r="B216" s="7">
        <v>-100.27</v>
      </c>
      <c r="C216" s="15" t="s">
        <v>283</v>
      </c>
    </row>
    <row r="217" spans="1:3" ht="10.95" customHeight="1" x14ac:dyDescent="0.2">
      <c r="A217" s="6" t="s">
        <v>109</v>
      </c>
      <c r="B217" s="7">
        <v>-100</v>
      </c>
      <c r="C217" s="15" t="s">
        <v>282</v>
      </c>
    </row>
    <row r="218" spans="1:3" ht="10.95" customHeight="1" x14ac:dyDescent="0.2">
      <c r="A218" s="6" t="s">
        <v>223</v>
      </c>
      <c r="B218" s="7">
        <v>-100</v>
      </c>
      <c r="C218" s="15" t="s">
        <v>282</v>
      </c>
    </row>
    <row r="219" spans="1:3" ht="10.95" customHeight="1" x14ac:dyDescent="0.2">
      <c r="A219" s="6" t="s">
        <v>178</v>
      </c>
      <c r="B219" s="7">
        <v>-99.21</v>
      </c>
      <c r="C219" s="15" t="s">
        <v>283</v>
      </c>
    </row>
    <row r="220" spans="1:3" ht="10.95" customHeight="1" x14ac:dyDescent="0.2">
      <c r="A220" s="6" t="s">
        <v>61</v>
      </c>
      <c r="B220" s="7">
        <v>-96.56</v>
      </c>
      <c r="C220" s="15" t="s">
        <v>283</v>
      </c>
    </row>
    <row r="221" spans="1:3" ht="10.95" customHeight="1" x14ac:dyDescent="0.2">
      <c r="A221" s="6" t="s">
        <v>24</v>
      </c>
      <c r="B221" s="7">
        <v>-92.14</v>
      </c>
      <c r="C221" s="15" t="s">
        <v>283</v>
      </c>
    </row>
    <row r="222" spans="1:3" ht="10.95" customHeight="1" x14ac:dyDescent="0.2">
      <c r="A222" s="6" t="s">
        <v>139</v>
      </c>
      <c r="B222" s="7">
        <v>-85.91</v>
      </c>
      <c r="C222" s="15" t="s">
        <v>283</v>
      </c>
    </row>
    <row r="223" spans="1:3" ht="10.95" customHeight="1" x14ac:dyDescent="0.2">
      <c r="A223" s="6" t="s">
        <v>196</v>
      </c>
      <c r="B223" s="7">
        <v>-84.09</v>
      </c>
      <c r="C223" s="15" t="s">
        <v>283</v>
      </c>
    </row>
    <row r="224" spans="1:3" ht="10.95" customHeight="1" x14ac:dyDescent="0.2">
      <c r="A224" s="6" t="s">
        <v>111</v>
      </c>
      <c r="B224" s="7">
        <v>-82.5</v>
      </c>
      <c r="C224" s="15" t="s">
        <v>282</v>
      </c>
    </row>
    <row r="225" spans="1:3" ht="10.95" customHeight="1" x14ac:dyDescent="0.2">
      <c r="A225" s="6" t="s">
        <v>219</v>
      </c>
      <c r="B225" s="7">
        <v>-78.73</v>
      </c>
      <c r="C225" s="15" t="s">
        <v>283</v>
      </c>
    </row>
    <row r="226" spans="1:3" ht="10.95" customHeight="1" x14ac:dyDescent="0.2">
      <c r="A226" s="6" t="s">
        <v>16</v>
      </c>
      <c r="B226" s="7">
        <v>-78.569999999999993</v>
      </c>
      <c r="C226" s="15" t="s">
        <v>283</v>
      </c>
    </row>
    <row r="227" spans="1:3" ht="10.95" customHeight="1" x14ac:dyDescent="0.2">
      <c r="A227" s="6" t="s">
        <v>235</v>
      </c>
      <c r="B227" s="7">
        <v>-76</v>
      </c>
      <c r="C227" s="15" t="s">
        <v>283</v>
      </c>
    </row>
    <row r="228" spans="1:3" ht="10.95" customHeight="1" x14ac:dyDescent="0.2">
      <c r="A228" s="6" t="s">
        <v>174</v>
      </c>
      <c r="B228" s="7">
        <v>-66.05</v>
      </c>
      <c r="C228" s="15" t="s">
        <v>283</v>
      </c>
    </row>
    <row r="229" spans="1:3" ht="10.95" customHeight="1" x14ac:dyDescent="0.2">
      <c r="A229" s="6" t="s">
        <v>198</v>
      </c>
      <c r="B229" s="7">
        <v>-64.11</v>
      </c>
      <c r="C229" s="15" t="s">
        <v>283</v>
      </c>
    </row>
    <row r="230" spans="1:3" ht="10.95" customHeight="1" x14ac:dyDescent="0.2">
      <c r="A230" s="6" t="s">
        <v>51</v>
      </c>
      <c r="B230" s="7">
        <v>-57.93</v>
      </c>
      <c r="C230" s="15" t="s">
        <v>283</v>
      </c>
    </row>
    <row r="231" spans="1:3" ht="10.95" customHeight="1" x14ac:dyDescent="0.2">
      <c r="A231" s="6" t="s">
        <v>135</v>
      </c>
      <c r="B231" s="7">
        <v>-55.36</v>
      </c>
      <c r="C231" s="15" t="s">
        <v>283</v>
      </c>
    </row>
    <row r="232" spans="1:3" ht="10.95" customHeight="1" x14ac:dyDescent="0.2">
      <c r="A232" s="6" t="s">
        <v>173</v>
      </c>
      <c r="B232" s="7">
        <v>-53.6</v>
      </c>
      <c r="C232" s="15" t="s">
        <v>283</v>
      </c>
    </row>
    <row r="233" spans="1:3" ht="10.95" customHeight="1" x14ac:dyDescent="0.2">
      <c r="A233" s="6" t="s">
        <v>32</v>
      </c>
      <c r="B233" s="7">
        <v>-51.82</v>
      </c>
      <c r="C233" s="15" t="s">
        <v>283</v>
      </c>
    </row>
    <row r="234" spans="1:3" ht="10.95" customHeight="1" x14ac:dyDescent="0.2">
      <c r="A234" s="6" t="s">
        <v>192</v>
      </c>
      <c r="B234" s="7">
        <v>-49.9</v>
      </c>
      <c r="C234" s="15" t="s">
        <v>283</v>
      </c>
    </row>
    <row r="235" spans="1:3" ht="10.95" customHeight="1" x14ac:dyDescent="0.2">
      <c r="A235" s="6" t="s">
        <v>199</v>
      </c>
      <c r="B235" s="7">
        <v>-47.24</v>
      </c>
      <c r="C235" s="15" t="s">
        <v>283</v>
      </c>
    </row>
    <row r="236" spans="1:3" ht="10.95" customHeight="1" x14ac:dyDescent="0.2">
      <c r="A236" s="6" t="s">
        <v>177</v>
      </c>
      <c r="B236" s="7">
        <v>-45.45</v>
      </c>
      <c r="C236" s="15" t="s">
        <v>283</v>
      </c>
    </row>
    <row r="237" spans="1:3" ht="10.95" customHeight="1" x14ac:dyDescent="0.2">
      <c r="A237" s="6" t="s">
        <v>259</v>
      </c>
      <c r="B237" s="7">
        <v>-44.62</v>
      </c>
      <c r="C237" s="15" t="s">
        <v>283</v>
      </c>
    </row>
    <row r="238" spans="1:3" ht="10.95" customHeight="1" x14ac:dyDescent="0.2">
      <c r="A238" s="6" t="s">
        <v>255</v>
      </c>
      <c r="B238" s="7">
        <v>-41.73</v>
      </c>
      <c r="C238" s="15" t="s">
        <v>283</v>
      </c>
    </row>
    <row r="239" spans="1:3" ht="10.95" customHeight="1" x14ac:dyDescent="0.2">
      <c r="A239" s="6" t="s">
        <v>252</v>
      </c>
      <c r="B239" s="7">
        <v>-41.53</v>
      </c>
      <c r="C239" s="15" t="s">
        <v>283</v>
      </c>
    </row>
    <row r="240" spans="1:3" ht="10.95" customHeight="1" x14ac:dyDescent="0.2">
      <c r="A240" s="6" t="s">
        <v>97</v>
      </c>
      <c r="B240" s="7">
        <v>-40.630000000000003</v>
      </c>
      <c r="C240" s="15" t="s">
        <v>283</v>
      </c>
    </row>
    <row r="241" spans="1:3" ht="10.95" customHeight="1" x14ac:dyDescent="0.2">
      <c r="A241" s="6" t="s">
        <v>207</v>
      </c>
      <c r="B241" s="7">
        <v>-24.79</v>
      </c>
      <c r="C241" s="15" t="s">
        <v>283</v>
      </c>
    </row>
    <row r="242" spans="1:3" ht="10.95" customHeight="1" x14ac:dyDescent="0.2">
      <c r="A242" s="6" t="s">
        <v>75</v>
      </c>
      <c r="B242" s="7">
        <v>-22.98</v>
      </c>
      <c r="C242" s="15" t="s">
        <v>283</v>
      </c>
    </row>
    <row r="243" spans="1:3" ht="10.95" customHeight="1" x14ac:dyDescent="0.2">
      <c r="A243" s="6" t="s">
        <v>69</v>
      </c>
      <c r="B243" s="7">
        <v>-22.56</v>
      </c>
      <c r="C243" s="15" t="s">
        <v>283</v>
      </c>
    </row>
    <row r="244" spans="1:3" ht="10.95" customHeight="1" x14ac:dyDescent="0.2">
      <c r="A244" s="6" t="s">
        <v>194</v>
      </c>
      <c r="B244" s="7">
        <v>-21.18</v>
      </c>
      <c r="C244" s="15" t="s">
        <v>283</v>
      </c>
    </row>
    <row r="245" spans="1:3" ht="10.95" customHeight="1" x14ac:dyDescent="0.2">
      <c r="A245" s="6" t="s">
        <v>74</v>
      </c>
      <c r="B245" s="7">
        <v>-20.99</v>
      </c>
      <c r="C245" s="15" t="s">
        <v>283</v>
      </c>
    </row>
    <row r="246" spans="1:3" ht="10.95" customHeight="1" x14ac:dyDescent="0.2">
      <c r="A246" s="6" t="s">
        <v>239</v>
      </c>
      <c r="B246" s="7">
        <v>-20.059999999999999</v>
      </c>
      <c r="C246" s="15" t="s">
        <v>283</v>
      </c>
    </row>
    <row r="247" spans="1:3" ht="10.95" customHeight="1" x14ac:dyDescent="0.2">
      <c r="A247" s="6" t="s">
        <v>31</v>
      </c>
      <c r="B247" s="7">
        <v>-20</v>
      </c>
      <c r="C247" s="15" t="s">
        <v>282</v>
      </c>
    </row>
    <row r="248" spans="1:3" ht="10.95" customHeight="1" x14ac:dyDescent="0.2">
      <c r="A248" s="6" t="s">
        <v>197</v>
      </c>
      <c r="B248" s="7">
        <v>-15.5</v>
      </c>
      <c r="C248" s="15" t="s">
        <v>282</v>
      </c>
    </row>
    <row r="249" spans="1:3" ht="10.95" customHeight="1" x14ac:dyDescent="0.2">
      <c r="A249" s="6" t="s">
        <v>50</v>
      </c>
      <c r="B249" s="7">
        <v>-15.45</v>
      </c>
      <c r="C249" s="15" t="s">
        <v>283</v>
      </c>
    </row>
    <row r="250" spans="1:3" ht="10.95" customHeight="1" x14ac:dyDescent="0.2">
      <c r="A250" s="6" t="s">
        <v>13</v>
      </c>
      <c r="B250" s="7">
        <v>-13.71</v>
      </c>
      <c r="C250" s="15" t="s">
        <v>283</v>
      </c>
    </row>
    <row r="251" spans="1:3" ht="10.95" customHeight="1" x14ac:dyDescent="0.2">
      <c r="A251" s="6" t="s">
        <v>18</v>
      </c>
      <c r="B251" s="7">
        <v>-13</v>
      </c>
      <c r="C251" s="15" t="s">
        <v>283</v>
      </c>
    </row>
    <row r="252" spans="1:3" ht="10.95" customHeight="1" x14ac:dyDescent="0.2">
      <c r="A252" s="6" t="s">
        <v>25</v>
      </c>
      <c r="B252" s="7">
        <v>-10.08</v>
      </c>
      <c r="C252" s="15" t="s">
        <v>283</v>
      </c>
    </row>
    <row r="253" spans="1:3" ht="10.95" customHeight="1" x14ac:dyDescent="0.2">
      <c r="A253" s="6" t="s">
        <v>216</v>
      </c>
      <c r="B253" s="7">
        <v>-10</v>
      </c>
      <c r="C253" s="15" t="s">
        <v>283</v>
      </c>
    </row>
    <row r="254" spans="1:3" ht="10.95" customHeight="1" x14ac:dyDescent="0.2">
      <c r="A254" s="6" t="s">
        <v>218</v>
      </c>
      <c r="B254" s="7">
        <v>-9.73</v>
      </c>
      <c r="C254" s="15" t="s">
        <v>283</v>
      </c>
    </row>
    <row r="255" spans="1:3" ht="10.95" customHeight="1" x14ac:dyDescent="0.2">
      <c r="A255" s="6" t="s">
        <v>59</v>
      </c>
      <c r="B255" s="7">
        <v>-9.09</v>
      </c>
      <c r="C255" s="15" t="s">
        <v>283</v>
      </c>
    </row>
    <row r="256" spans="1:3" ht="10.95" customHeight="1" x14ac:dyDescent="0.2">
      <c r="A256" s="6" t="s">
        <v>14</v>
      </c>
      <c r="B256" s="7">
        <v>-9.08</v>
      </c>
      <c r="C256" s="15" t="s">
        <v>283</v>
      </c>
    </row>
    <row r="257" spans="1:3" ht="10.95" customHeight="1" x14ac:dyDescent="0.2">
      <c r="A257" s="6" t="s">
        <v>46</v>
      </c>
      <c r="B257" s="7">
        <v>-8.36</v>
      </c>
      <c r="C257" s="15" t="s">
        <v>283</v>
      </c>
    </row>
    <row r="258" spans="1:3" ht="10.95" customHeight="1" x14ac:dyDescent="0.2">
      <c r="A258" s="6" t="s">
        <v>162</v>
      </c>
      <c r="B258" s="7">
        <v>-8.18</v>
      </c>
      <c r="C258" s="15" t="s">
        <v>283</v>
      </c>
    </row>
    <row r="259" spans="1:3" ht="10.95" customHeight="1" x14ac:dyDescent="0.2">
      <c r="A259" s="6" t="s">
        <v>200</v>
      </c>
      <c r="B259" s="7">
        <v>-7</v>
      </c>
      <c r="C259" s="15" t="s">
        <v>283</v>
      </c>
    </row>
    <row r="260" spans="1:3" ht="10.95" customHeight="1" x14ac:dyDescent="0.2">
      <c r="A260" s="6" t="s">
        <v>106</v>
      </c>
      <c r="B260" s="7">
        <v>-4.2300000000000004</v>
      </c>
      <c r="C260" s="15" t="s">
        <v>283</v>
      </c>
    </row>
    <row r="261" spans="1:3" ht="10.95" customHeight="1" x14ac:dyDescent="0.2">
      <c r="A261" s="6" t="s">
        <v>26</v>
      </c>
      <c r="B261" s="7">
        <v>-3.93</v>
      </c>
      <c r="C261" s="15" t="s">
        <v>283</v>
      </c>
    </row>
    <row r="262" spans="1:3" ht="10.95" customHeight="1" x14ac:dyDescent="0.2">
      <c r="A262" s="6" t="s">
        <v>7</v>
      </c>
      <c r="B262" s="7">
        <v>0</v>
      </c>
    </row>
    <row r="263" spans="1:3" ht="10.95" customHeight="1" x14ac:dyDescent="0.2">
      <c r="A263" s="6" t="s">
        <v>58</v>
      </c>
      <c r="B263" s="7">
        <v>0</v>
      </c>
    </row>
    <row r="264" spans="1:3" ht="10.95" customHeight="1" x14ac:dyDescent="0.2">
      <c r="A264" s="6" t="s">
        <v>71</v>
      </c>
      <c r="B264" s="7">
        <v>0</v>
      </c>
    </row>
    <row r="265" spans="1:3" ht="10.95" customHeight="1" x14ac:dyDescent="0.2">
      <c r="A265" s="6" t="s">
        <v>83</v>
      </c>
      <c r="B265" s="7">
        <v>0</v>
      </c>
    </row>
    <row r="266" spans="1:3" ht="10.95" customHeight="1" x14ac:dyDescent="0.2">
      <c r="A266" s="6" t="s">
        <v>87</v>
      </c>
      <c r="B266" s="7">
        <v>0</v>
      </c>
    </row>
    <row r="267" spans="1:3" ht="10.95" customHeight="1" x14ac:dyDescent="0.2">
      <c r="A267" s="6" t="s">
        <v>91</v>
      </c>
      <c r="B267" s="7">
        <v>0</v>
      </c>
    </row>
    <row r="268" spans="1:3" ht="10.95" customHeight="1" x14ac:dyDescent="0.2">
      <c r="A268" s="6" t="s">
        <v>121</v>
      </c>
      <c r="B268" s="7">
        <v>0</v>
      </c>
    </row>
    <row r="269" spans="1:3" ht="10.95" customHeight="1" x14ac:dyDescent="0.2">
      <c r="A269" s="6" t="s">
        <v>145</v>
      </c>
      <c r="B269" s="7">
        <v>0</v>
      </c>
    </row>
    <row r="270" spans="1:3" ht="10.95" customHeight="1" x14ac:dyDescent="0.2">
      <c r="A270" s="6" t="s">
        <v>148</v>
      </c>
      <c r="B270" s="7">
        <v>0</v>
      </c>
    </row>
    <row r="271" spans="1:3" ht="10.95" customHeight="1" x14ac:dyDescent="0.2">
      <c r="A271" s="6" t="s">
        <v>152</v>
      </c>
      <c r="B271" s="7">
        <v>0</v>
      </c>
    </row>
    <row r="272" spans="1:3" ht="10.95" customHeight="1" x14ac:dyDescent="0.2">
      <c r="A272" s="6" t="s">
        <v>170</v>
      </c>
      <c r="B272" s="7">
        <v>0</v>
      </c>
    </row>
    <row r="273" spans="1:2" ht="10.95" customHeight="1" x14ac:dyDescent="0.2">
      <c r="A273" s="6" t="s">
        <v>171</v>
      </c>
      <c r="B273" s="7">
        <v>0</v>
      </c>
    </row>
    <row r="274" spans="1:2" ht="10.95" customHeight="1" x14ac:dyDescent="0.2">
      <c r="A274" s="6" t="s">
        <v>175</v>
      </c>
      <c r="B274" s="7">
        <v>0</v>
      </c>
    </row>
    <row r="275" spans="1:2" ht="10.95" customHeight="1" x14ac:dyDescent="0.2">
      <c r="A275" s="6" t="s">
        <v>188</v>
      </c>
      <c r="B275" s="7">
        <v>0</v>
      </c>
    </row>
    <row r="276" spans="1:2" ht="10.95" customHeight="1" x14ac:dyDescent="0.2">
      <c r="A276" s="6" t="s">
        <v>190</v>
      </c>
      <c r="B276" s="7">
        <v>0</v>
      </c>
    </row>
    <row r="277" spans="1:2" ht="10.95" customHeight="1" x14ac:dyDescent="0.2">
      <c r="A277" s="6" t="s">
        <v>205</v>
      </c>
      <c r="B277" s="7">
        <v>0</v>
      </c>
    </row>
    <row r="278" spans="1:2" ht="10.95" customHeight="1" x14ac:dyDescent="0.2">
      <c r="A278" s="6" t="s">
        <v>213</v>
      </c>
      <c r="B278" s="7">
        <v>0</v>
      </c>
    </row>
    <row r="279" spans="1:2" ht="10.95" customHeight="1" x14ac:dyDescent="0.2">
      <c r="A279" s="6" t="s">
        <v>221</v>
      </c>
      <c r="B279" s="7">
        <v>0</v>
      </c>
    </row>
    <row r="280" spans="1:2" ht="10.95" customHeight="1" x14ac:dyDescent="0.2">
      <c r="A280" s="6" t="s">
        <v>246</v>
      </c>
      <c r="B280" s="7">
        <v>0</v>
      </c>
    </row>
    <row r="281" spans="1:2" ht="10.95" customHeight="1" x14ac:dyDescent="0.2">
      <c r="A281" s="6" t="s">
        <v>257</v>
      </c>
      <c r="B281" s="7">
        <v>0</v>
      </c>
    </row>
    <row r="282" spans="1:2" ht="10.95" customHeight="1" x14ac:dyDescent="0.2">
      <c r="A282" s="6" t="s">
        <v>261</v>
      </c>
      <c r="B282" s="7">
        <v>0</v>
      </c>
    </row>
    <row r="283" spans="1:2" ht="10.95" customHeight="1" x14ac:dyDescent="0.2">
      <c r="A283" s="11"/>
      <c r="B283" s="11"/>
    </row>
    <row r="284" spans="1:2" ht="10.95" customHeight="1" x14ac:dyDescent="0.2">
      <c r="A284" s="8" t="s">
        <v>4</v>
      </c>
      <c r="B284" s="9">
        <f>SUM(B8:B283)</f>
        <v>-1471022.1800000006</v>
      </c>
    </row>
  </sheetData>
  <sortState xmlns:xlrd2="http://schemas.microsoft.com/office/spreadsheetml/2017/richdata2" ref="A7:B283">
    <sortCondition ref="B7:B283"/>
  </sortState>
  <pageMargins left="0.7" right="0.7" top="0.75" bottom="0.75" header="0.3" footer="0.3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037EA-4721-49FF-ADCF-11B04C423E33}">
  <dimension ref="A1:F282"/>
  <sheetViews>
    <sheetView tabSelected="1" workbookViewId="0">
      <selection activeCell="E21" sqref="E21"/>
    </sheetView>
  </sheetViews>
  <sheetFormatPr defaultRowHeight="11.4" x14ac:dyDescent="0.2"/>
  <cols>
    <col min="1" max="1" width="60.75" bestFit="1" customWidth="1"/>
    <col min="2" max="2" width="12" bestFit="1" customWidth="1"/>
    <col min="3" max="3" width="14" bestFit="1" customWidth="1"/>
    <col min="4" max="4" width="26.75" style="15" bestFit="1" customWidth="1"/>
    <col min="5" max="5" width="11.5" style="15" bestFit="1" customWidth="1"/>
  </cols>
  <sheetData>
    <row r="1" spans="1:6" ht="17.399999999999999" x14ac:dyDescent="0.3">
      <c r="A1" s="2" t="s">
        <v>0</v>
      </c>
      <c r="B1" s="2"/>
      <c r="C1" s="13"/>
    </row>
    <row r="2" spans="1:6" ht="15" x14ac:dyDescent="0.25">
      <c r="A2" s="4" t="s">
        <v>1</v>
      </c>
      <c r="B2" s="4"/>
      <c r="C2" s="14"/>
    </row>
    <row r="3" spans="1:6" ht="15" x14ac:dyDescent="0.25">
      <c r="A3" s="4" t="s">
        <v>2</v>
      </c>
      <c r="B3" s="4"/>
      <c r="C3" s="14"/>
    </row>
    <row r="4" spans="1:6" x14ac:dyDescent="0.2">
      <c r="C4" s="15"/>
    </row>
    <row r="5" spans="1:6" ht="12" x14ac:dyDescent="0.25">
      <c r="A5" s="19" t="s">
        <v>3</v>
      </c>
      <c r="B5" s="20" t="s">
        <v>280</v>
      </c>
      <c r="C5" s="21" t="s">
        <v>281</v>
      </c>
      <c r="D5" s="21" t="s">
        <v>365</v>
      </c>
      <c r="E5" s="21" t="s">
        <v>285</v>
      </c>
      <c r="F5" s="21" t="s">
        <v>366</v>
      </c>
    </row>
    <row r="6" spans="1:6" x14ac:dyDescent="0.2">
      <c r="C6" s="15"/>
    </row>
    <row r="7" spans="1:6" x14ac:dyDescent="0.2">
      <c r="A7" s="10" t="s">
        <v>254</v>
      </c>
      <c r="B7" s="12">
        <v>-214907.45</v>
      </c>
      <c r="C7" s="15" t="s">
        <v>282</v>
      </c>
      <c r="D7" s="15">
        <v>113</v>
      </c>
      <c r="E7" s="16">
        <f>SUM(D7/52)</f>
        <v>2.1730769230769229</v>
      </c>
    </row>
    <row r="8" spans="1:6" x14ac:dyDescent="0.2">
      <c r="A8" s="10" t="s">
        <v>57</v>
      </c>
      <c r="B8" s="12">
        <v>-75965.8</v>
      </c>
      <c r="C8" s="15" t="s">
        <v>282</v>
      </c>
      <c r="D8" s="15">
        <v>92</v>
      </c>
      <c r="E8" s="16">
        <f>SUM(D8/52)</f>
        <v>1.7692307692307692</v>
      </c>
    </row>
    <row r="9" spans="1:6" x14ac:dyDescent="0.2">
      <c r="A9" s="6" t="s">
        <v>146</v>
      </c>
      <c r="B9" s="7">
        <v>-49519.86</v>
      </c>
      <c r="C9" s="15" t="s">
        <v>282</v>
      </c>
      <c r="D9" s="15">
        <v>26</v>
      </c>
      <c r="E9" s="16">
        <f>SUM(D9/52)</f>
        <v>0.5</v>
      </c>
    </row>
    <row r="10" spans="1:6" x14ac:dyDescent="0.2">
      <c r="A10" s="6" t="s">
        <v>10</v>
      </c>
      <c r="B10" s="7">
        <v>-40986.769999999997</v>
      </c>
      <c r="C10" s="15" t="s">
        <v>282</v>
      </c>
      <c r="D10" s="15">
        <v>49</v>
      </c>
      <c r="E10" s="16">
        <f>SUM(D10/52)</f>
        <v>0.94230769230769229</v>
      </c>
    </row>
    <row r="11" spans="1:6" x14ac:dyDescent="0.2">
      <c r="A11" s="6" t="s">
        <v>277</v>
      </c>
      <c r="B11" s="7">
        <v>-40946.79</v>
      </c>
      <c r="C11" s="15" t="s">
        <v>282</v>
      </c>
      <c r="D11" s="15">
        <v>50</v>
      </c>
      <c r="E11" s="16">
        <f>SUM(D11/46)</f>
        <v>1.0869565217391304</v>
      </c>
      <c r="F11" t="s">
        <v>286</v>
      </c>
    </row>
    <row r="12" spans="1:6" x14ac:dyDescent="0.2">
      <c r="A12" s="6" t="s">
        <v>118</v>
      </c>
      <c r="B12" s="7">
        <v>-38861.47</v>
      </c>
      <c r="C12" s="15" t="s">
        <v>282</v>
      </c>
      <c r="D12" s="15">
        <v>55</v>
      </c>
      <c r="E12" s="16">
        <f t="shared" ref="E12:E20" si="0">SUM(D12/52)</f>
        <v>1.0576923076923077</v>
      </c>
    </row>
    <row r="13" spans="1:6" x14ac:dyDescent="0.2">
      <c r="A13" s="6" t="s">
        <v>67</v>
      </c>
      <c r="B13" s="7">
        <v>-33294</v>
      </c>
      <c r="C13" s="15" t="s">
        <v>282</v>
      </c>
      <c r="D13" s="15">
        <v>60</v>
      </c>
      <c r="E13" s="16">
        <f t="shared" si="0"/>
        <v>1.1538461538461537</v>
      </c>
    </row>
    <row r="14" spans="1:6" x14ac:dyDescent="0.2">
      <c r="A14" s="6" t="s">
        <v>147</v>
      </c>
      <c r="B14" s="7">
        <v>-20757.080000000002</v>
      </c>
      <c r="C14" s="15" t="s">
        <v>282</v>
      </c>
      <c r="D14" s="15">
        <v>21</v>
      </c>
      <c r="E14" s="16">
        <f t="shared" si="0"/>
        <v>0.40384615384615385</v>
      </c>
    </row>
    <row r="15" spans="1:6" x14ac:dyDescent="0.2">
      <c r="A15" s="6" t="s">
        <v>6</v>
      </c>
      <c r="B15" s="7">
        <v>-19483.21</v>
      </c>
      <c r="C15" s="15" t="s">
        <v>282</v>
      </c>
      <c r="D15" s="15">
        <v>15</v>
      </c>
      <c r="E15" s="16">
        <f t="shared" si="0"/>
        <v>0.28846153846153844</v>
      </c>
      <c r="F15" t="s">
        <v>287</v>
      </c>
    </row>
    <row r="16" spans="1:6" x14ac:dyDescent="0.2">
      <c r="A16" s="6" t="s">
        <v>243</v>
      </c>
      <c r="B16" s="7">
        <v>-18423.52</v>
      </c>
      <c r="C16" s="15" t="s">
        <v>282</v>
      </c>
      <c r="D16" s="15">
        <v>30</v>
      </c>
      <c r="E16" s="16">
        <f t="shared" si="0"/>
        <v>0.57692307692307687</v>
      </c>
    </row>
    <row r="17" spans="1:6" x14ac:dyDescent="0.2">
      <c r="A17" s="6" t="s">
        <v>122</v>
      </c>
      <c r="B17" s="7">
        <v>-17095.41</v>
      </c>
      <c r="C17" s="15" t="s">
        <v>282</v>
      </c>
      <c r="D17" s="15">
        <v>49</v>
      </c>
      <c r="E17" s="16">
        <f t="shared" si="0"/>
        <v>0.94230769230769229</v>
      </c>
    </row>
    <row r="18" spans="1:6" x14ac:dyDescent="0.2">
      <c r="A18" s="6" t="s">
        <v>253</v>
      </c>
      <c r="B18" s="7">
        <v>-16233.84</v>
      </c>
      <c r="C18" s="15" t="s">
        <v>282</v>
      </c>
      <c r="D18" s="15">
        <v>7</v>
      </c>
      <c r="E18" s="16">
        <f t="shared" si="0"/>
        <v>0.13461538461538461</v>
      </c>
      <c r="F18" t="s">
        <v>288</v>
      </c>
    </row>
    <row r="19" spans="1:6" x14ac:dyDescent="0.2">
      <c r="A19" s="6" t="s">
        <v>43</v>
      </c>
      <c r="B19" s="7">
        <v>-13773.27</v>
      </c>
      <c r="C19" s="15" t="s">
        <v>282</v>
      </c>
      <c r="D19" s="15">
        <v>106</v>
      </c>
      <c r="E19" s="16">
        <f t="shared" si="0"/>
        <v>2.0384615384615383</v>
      </c>
    </row>
    <row r="20" spans="1:6" x14ac:dyDescent="0.2">
      <c r="A20" s="6" t="s">
        <v>35</v>
      </c>
      <c r="B20" s="7">
        <v>-13506.32</v>
      </c>
      <c r="C20" s="15" t="s">
        <v>282</v>
      </c>
      <c r="D20" s="15">
        <v>11</v>
      </c>
      <c r="E20" s="16">
        <f t="shared" si="0"/>
        <v>0.21153846153846154</v>
      </c>
      <c r="F20" t="s">
        <v>289</v>
      </c>
    </row>
    <row r="21" spans="1:6" x14ac:dyDescent="0.2">
      <c r="A21" s="6" t="s">
        <v>11</v>
      </c>
      <c r="B21" s="7">
        <v>-13002.98</v>
      </c>
      <c r="C21" s="15" t="s">
        <v>282</v>
      </c>
      <c r="D21" s="15">
        <v>122</v>
      </c>
      <c r="E21" s="16">
        <f>SUM(D21/42)</f>
        <v>2.9047619047619047</v>
      </c>
      <c r="F21" t="s">
        <v>290</v>
      </c>
    </row>
    <row r="22" spans="1:6" x14ac:dyDescent="0.2">
      <c r="A22" s="6" t="s">
        <v>138</v>
      </c>
      <c r="B22" s="7">
        <v>-12475</v>
      </c>
      <c r="C22" s="15" t="s">
        <v>282</v>
      </c>
      <c r="D22" s="15">
        <v>29</v>
      </c>
      <c r="E22" s="16">
        <f>SUM(D22/52)</f>
        <v>0.55769230769230771</v>
      </c>
    </row>
    <row r="23" spans="1:6" x14ac:dyDescent="0.2">
      <c r="A23" s="6" t="s">
        <v>95</v>
      </c>
      <c r="B23" s="7">
        <v>-11558.62</v>
      </c>
      <c r="C23" s="15" t="s">
        <v>282</v>
      </c>
      <c r="D23" s="15">
        <v>6</v>
      </c>
      <c r="E23" s="16">
        <f>SUM(D23/52)</f>
        <v>0.11538461538461539</v>
      </c>
      <c r="F23" t="s">
        <v>291</v>
      </c>
    </row>
    <row r="24" spans="1:6" x14ac:dyDescent="0.2">
      <c r="A24" s="6" t="s">
        <v>231</v>
      </c>
      <c r="B24" s="7">
        <v>-10633.42</v>
      </c>
      <c r="C24" s="15" t="s">
        <v>282</v>
      </c>
      <c r="D24" s="15">
        <v>12</v>
      </c>
      <c r="E24" s="16">
        <f>SUM(D24/52)</f>
        <v>0.23076923076923078</v>
      </c>
      <c r="F24" t="s">
        <v>292</v>
      </c>
    </row>
    <row r="25" spans="1:6" x14ac:dyDescent="0.2">
      <c r="A25" s="6" t="s">
        <v>77</v>
      </c>
      <c r="B25" s="7">
        <v>-10130.94</v>
      </c>
      <c r="C25" s="15" t="s">
        <v>282</v>
      </c>
      <c r="D25" s="15">
        <v>71</v>
      </c>
      <c r="E25" s="16">
        <f>SUM(D25/52)</f>
        <v>1.3653846153846154</v>
      </c>
      <c r="F25" t="s">
        <v>293</v>
      </c>
    </row>
    <row r="26" spans="1:6" x14ac:dyDescent="0.2">
      <c r="A26" s="6" t="s">
        <v>217</v>
      </c>
      <c r="B26" s="7">
        <v>-9724.14</v>
      </c>
      <c r="C26" s="15" t="s">
        <v>282</v>
      </c>
      <c r="E26" s="16"/>
      <c r="F26" t="s">
        <v>294</v>
      </c>
    </row>
    <row r="27" spans="1:6" x14ac:dyDescent="0.2">
      <c r="A27" s="6" t="s">
        <v>28</v>
      </c>
      <c r="B27" s="7">
        <v>-9237.23</v>
      </c>
      <c r="C27" s="15" t="s">
        <v>282</v>
      </c>
      <c r="D27" s="15">
        <v>30</v>
      </c>
      <c r="E27" s="16">
        <f t="shared" ref="E27:E34" si="1">SUM(D27/52)</f>
        <v>0.57692307692307687</v>
      </c>
      <c r="F27" t="s">
        <v>295</v>
      </c>
    </row>
    <row r="28" spans="1:6" x14ac:dyDescent="0.2">
      <c r="A28" s="6" t="s">
        <v>64</v>
      </c>
      <c r="B28" s="7">
        <v>-8042.06</v>
      </c>
      <c r="C28" s="15" t="s">
        <v>282</v>
      </c>
      <c r="D28" s="15">
        <v>12</v>
      </c>
      <c r="E28" s="16">
        <f t="shared" si="1"/>
        <v>0.23076923076923078</v>
      </c>
    </row>
    <row r="29" spans="1:6" x14ac:dyDescent="0.2">
      <c r="A29" s="6" t="s">
        <v>76</v>
      </c>
      <c r="B29" s="7">
        <v>-7839.93</v>
      </c>
      <c r="C29" s="15" t="s">
        <v>282</v>
      </c>
      <c r="D29" s="15">
        <v>4</v>
      </c>
      <c r="E29" s="16">
        <f t="shared" si="1"/>
        <v>7.6923076923076927E-2</v>
      </c>
      <c r="F29" t="s">
        <v>296</v>
      </c>
    </row>
    <row r="30" spans="1:6" x14ac:dyDescent="0.2">
      <c r="A30" s="6" t="s">
        <v>98</v>
      </c>
      <c r="B30" s="7">
        <v>-7571.82</v>
      </c>
      <c r="C30" s="15" t="s">
        <v>282</v>
      </c>
      <c r="D30" s="15">
        <v>7</v>
      </c>
      <c r="E30" s="16">
        <f t="shared" si="1"/>
        <v>0.13461538461538461</v>
      </c>
      <c r="F30" t="s">
        <v>297</v>
      </c>
    </row>
    <row r="31" spans="1:6" x14ac:dyDescent="0.2">
      <c r="A31" s="6" t="s">
        <v>244</v>
      </c>
      <c r="B31" s="7">
        <v>-7467.1</v>
      </c>
      <c r="C31" s="15" t="s">
        <v>282</v>
      </c>
      <c r="D31" s="15">
        <v>8</v>
      </c>
      <c r="E31" s="16">
        <f t="shared" si="1"/>
        <v>0.15384615384615385</v>
      </c>
      <c r="F31" t="s">
        <v>297</v>
      </c>
    </row>
    <row r="32" spans="1:6" x14ac:dyDescent="0.2">
      <c r="A32" s="6" t="s">
        <v>156</v>
      </c>
      <c r="B32" s="7">
        <v>-7377.83</v>
      </c>
      <c r="C32" s="15" t="s">
        <v>282</v>
      </c>
      <c r="D32" s="15">
        <v>7</v>
      </c>
      <c r="E32" s="16">
        <f t="shared" si="1"/>
        <v>0.13461538461538461</v>
      </c>
      <c r="F32" t="s">
        <v>297</v>
      </c>
    </row>
    <row r="33" spans="1:6" x14ac:dyDescent="0.2">
      <c r="A33" s="6" t="s">
        <v>202</v>
      </c>
      <c r="B33" s="7">
        <v>-7098.92</v>
      </c>
      <c r="C33" s="15" t="s">
        <v>282</v>
      </c>
      <c r="D33" s="15">
        <v>10</v>
      </c>
      <c r="E33" s="16">
        <f t="shared" si="1"/>
        <v>0.19230769230769232</v>
      </c>
      <c r="F33" t="s">
        <v>297</v>
      </c>
    </row>
    <row r="34" spans="1:6" x14ac:dyDescent="0.2">
      <c r="A34" s="6" t="s">
        <v>30</v>
      </c>
      <c r="B34" s="7">
        <v>-7025.56</v>
      </c>
      <c r="C34" s="15" t="s">
        <v>282</v>
      </c>
      <c r="D34" s="15">
        <v>12</v>
      </c>
      <c r="E34" s="16">
        <f t="shared" si="1"/>
        <v>0.23076923076923078</v>
      </c>
      <c r="F34" t="s">
        <v>298</v>
      </c>
    </row>
    <row r="35" spans="1:6" x14ac:dyDescent="0.2">
      <c r="A35" s="6" t="s">
        <v>93</v>
      </c>
      <c r="B35" s="7">
        <v>-6834.74</v>
      </c>
      <c r="C35" s="15" t="s">
        <v>282</v>
      </c>
      <c r="E35" s="16"/>
      <c r="F35" t="s">
        <v>299</v>
      </c>
    </row>
    <row r="36" spans="1:6" x14ac:dyDescent="0.2">
      <c r="A36" s="6" t="s">
        <v>17</v>
      </c>
      <c r="B36" s="7">
        <v>-6305.35</v>
      </c>
      <c r="C36" s="15" t="s">
        <v>282</v>
      </c>
      <c r="E36" s="16"/>
      <c r="F36" t="s">
        <v>300</v>
      </c>
    </row>
    <row r="37" spans="1:6" x14ac:dyDescent="0.2">
      <c r="A37" s="6" t="s">
        <v>56</v>
      </c>
      <c r="B37" s="7">
        <v>-6026.9</v>
      </c>
      <c r="C37" s="15" t="s">
        <v>282</v>
      </c>
      <c r="D37" s="15">
        <v>48</v>
      </c>
      <c r="E37" s="16">
        <f t="shared" ref="E37:E42" si="2">SUM(D37/52)</f>
        <v>0.92307692307692313</v>
      </c>
      <c r="F37" t="s">
        <v>301</v>
      </c>
    </row>
    <row r="38" spans="1:6" x14ac:dyDescent="0.2">
      <c r="A38" s="6" t="s">
        <v>262</v>
      </c>
      <c r="B38" s="7">
        <v>-5758.67</v>
      </c>
      <c r="C38" s="15" t="s">
        <v>282</v>
      </c>
      <c r="D38" s="15">
        <v>4</v>
      </c>
      <c r="E38" s="16">
        <f t="shared" si="2"/>
        <v>7.6923076923076927E-2</v>
      </c>
      <c r="F38" t="s">
        <v>302</v>
      </c>
    </row>
    <row r="39" spans="1:6" x14ac:dyDescent="0.2">
      <c r="A39" s="6" t="s">
        <v>191</v>
      </c>
      <c r="B39" s="7">
        <v>-5516.36</v>
      </c>
      <c r="C39" s="15" t="s">
        <v>282</v>
      </c>
      <c r="D39" s="15">
        <v>5</v>
      </c>
      <c r="E39" s="16">
        <f t="shared" si="2"/>
        <v>9.6153846153846159E-2</v>
      </c>
      <c r="F39" t="s">
        <v>302</v>
      </c>
    </row>
    <row r="40" spans="1:6" x14ac:dyDescent="0.2">
      <c r="A40" s="6" t="s">
        <v>250</v>
      </c>
      <c r="B40" s="7">
        <v>-5373.75</v>
      </c>
      <c r="C40" s="15" t="s">
        <v>282</v>
      </c>
      <c r="D40" s="15">
        <v>7</v>
      </c>
      <c r="E40" s="16">
        <f t="shared" si="2"/>
        <v>0.13461538461538461</v>
      </c>
      <c r="F40" t="s">
        <v>302</v>
      </c>
    </row>
    <row r="41" spans="1:6" x14ac:dyDescent="0.2">
      <c r="A41" s="6" t="s">
        <v>274</v>
      </c>
      <c r="B41" s="7">
        <v>-5324.42</v>
      </c>
      <c r="C41" s="15" t="s">
        <v>282</v>
      </c>
      <c r="D41" s="15">
        <v>32</v>
      </c>
      <c r="E41" s="16">
        <f t="shared" si="2"/>
        <v>0.61538461538461542</v>
      </c>
      <c r="F41" t="s">
        <v>303</v>
      </c>
    </row>
    <row r="42" spans="1:6" x14ac:dyDescent="0.2">
      <c r="A42" s="6" t="s">
        <v>251</v>
      </c>
      <c r="B42" s="7">
        <v>-5175.04</v>
      </c>
      <c r="C42" s="15" t="s">
        <v>282</v>
      </c>
      <c r="D42" s="15">
        <v>4</v>
      </c>
      <c r="E42" s="16">
        <f t="shared" si="2"/>
        <v>7.6923076923076927E-2</v>
      </c>
      <c r="F42" t="s">
        <v>302</v>
      </c>
    </row>
    <row r="43" spans="1:6" x14ac:dyDescent="0.2">
      <c r="A43" s="6" t="s">
        <v>53</v>
      </c>
      <c r="B43" s="7">
        <v>-5079.95</v>
      </c>
      <c r="C43" s="15" t="s">
        <v>282</v>
      </c>
      <c r="E43" s="16"/>
    </row>
    <row r="44" spans="1:6" x14ac:dyDescent="0.2">
      <c r="A44" s="6" t="s">
        <v>161</v>
      </c>
      <c r="B44" s="7">
        <v>-4973.54</v>
      </c>
      <c r="C44" s="15" t="s">
        <v>282</v>
      </c>
      <c r="D44" s="15">
        <v>5</v>
      </c>
      <c r="E44" s="16"/>
      <c r="F44" t="s">
        <v>296</v>
      </c>
    </row>
    <row r="45" spans="1:6" x14ac:dyDescent="0.2">
      <c r="A45" s="6" t="s">
        <v>149</v>
      </c>
      <c r="B45" s="7">
        <v>-4743</v>
      </c>
      <c r="C45" s="15" t="s">
        <v>282</v>
      </c>
      <c r="D45" s="15">
        <v>4</v>
      </c>
      <c r="E45" s="16"/>
      <c r="F45" t="s">
        <v>296</v>
      </c>
    </row>
    <row r="46" spans="1:6" x14ac:dyDescent="0.2">
      <c r="A46" s="6" t="s">
        <v>81</v>
      </c>
      <c r="B46" s="7">
        <v>-4717.46</v>
      </c>
      <c r="C46" s="15" t="s">
        <v>282</v>
      </c>
      <c r="E46" s="16"/>
    </row>
    <row r="47" spans="1:6" x14ac:dyDescent="0.2">
      <c r="A47" s="6" t="s">
        <v>228</v>
      </c>
      <c r="B47" s="7">
        <v>-4490.91</v>
      </c>
      <c r="C47" s="15" t="s">
        <v>282</v>
      </c>
      <c r="D47" s="15">
        <v>8</v>
      </c>
      <c r="E47" s="16"/>
      <c r="F47" t="s">
        <v>304</v>
      </c>
    </row>
    <row r="48" spans="1:6" x14ac:dyDescent="0.2">
      <c r="A48" s="6" t="s">
        <v>275</v>
      </c>
      <c r="B48" s="7">
        <v>-4389.12</v>
      </c>
      <c r="C48" s="15" t="s">
        <v>282</v>
      </c>
      <c r="D48" s="15">
        <v>8</v>
      </c>
      <c r="E48" s="16"/>
      <c r="F48" t="s">
        <v>305</v>
      </c>
    </row>
    <row r="49" spans="1:6" x14ac:dyDescent="0.2">
      <c r="A49" s="6" t="s">
        <v>276</v>
      </c>
      <c r="B49" s="7">
        <v>-4258.8500000000004</v>
      </c>
      <c r="C49" s="15" t="s">
        <v>282</v>
      </c>
      <c r="D49" s="15">
        <v>23</v>
      </c>
      <c r="E49" s="16">
        <f>SUM(D49/52)</f>
        <v>0.44230769230769229</v>
      </c>
    </row>
    <row r="50" spans="1:6" x14ac:dyDescent="0.2">
      <c r="A50" s="6" t="s">
        <v>166</v>
      </c>
      <c r="B50" s="7">
        <v>-4227.3</v>
      </c>
      <c r="C50" s="15" t="s">
        <v>282</v>
      </c>
      <c r="D50" s="15">
        <v>14</v>
      </c>
      <c r="E50" s="16"/>
      <c r="F50" t="s">
        <v>306</v>
      </c>
    </row>
    <row r="51" spans="1:6" x14ac:dyDescent="0.2">
      <c r="A51" s="6" t="s">
        <v>38</v>
      </c>
      <c r="B51" s="7">
        <v>-3894.65</v>
      </c>
      <c r="C51" s="15" t="s">
        <v>282</v>
      </c>
      <c r="D51" s="15">
        <v>23</v>
      </c>
      <c r="E51" s="16">
        <f>SUM(D51/52)</f>
        <v>0.44230769230769229</v>
      </c>
      <c r="F51" t="s">
        <v>306</v>
      </c>
    </row>
    <row r="52" spans="1:6" x14ac:dyDescent="0.2">
      <c r="A52" s="6" t="s">
        <v>96</v>
      </c>
      <c r="B52" s="7">
        <v>-3862.5</v>
      </c>
      <c r="C52" s="15" t="s">
        <v>282</v>
      </c>
      <c r="E52" s="16"/>
      <c r="F52" t="s">
        <v>307</v>
      </c>
    </row>
    <row r="53" spans="1:6" x14ac:dyDescent="0.2">
      <c r="A53" s="6" t="s">
        <v>172</v>
      </c>
      <c r="B53" s="7">
        <v>-3640</v>
      </c>
      <c r="C53" s="15" t="s">
        <v>282</v>
      </c>
      <c r="E53" s="16"/>
      <c r="F53" t="s">
        <v>308</v>
      </c>
    </row>
    <row r="54" spans="1:6" x14ac:dyDescent="0.2">
      <c r="A54" s="6" t="s">
        <v>133</v>
      </c>
      <c r="B54" s="7">
        <v>-3411.95</v>
      </c>
      <c r="C54" s="15" t="s">
        <v>282</v>
      </c>
      <c r="D54" s="15">
        <v>6</v>
      </c>
      <c r="E54" s="16">
        <f>SUM(D54/52)</f>
        <v>0.11538461538461539</v>
      </c>
      <c r="F54" t="s">
        <v>309</v>
      </c>
    </row>
    <row r="55" spans="1:6" x14ac:dyDescent="0.2">
      <c r="A55" s="6" t="s">
        <v>100</v>
      </c>
      <c r="B55" s="7">
        <v>-3344.23</v>
      </c>
      <c r="C55" s="15" t="s">
        <v>282</v>
      </c>
      <c r="D55" s="15">
        <v>4</v>
      </c>
      <c r="E55" s="16">
        <f>SUM(D55/52)</f>
        <v>7.6923076923076927E-2</v>
      </c>
      <c r="F55" t="s">
        <v>310</v>
      </c>
    </row>
    <row r="56" spans="1:6" x14ac:dyDescent="0.2">
      <c r="A56" s="6" t="s">
        <v>136</v>
      </c>
      <c r="B56" s="7">
        <v>-3279.81</v>
      </c>
      <c r="C56" s="15" t="s">
        <v>282</v>
      </c>
      <c r="D56" s="15">
        <v>7</v>
      </c>
      <c r="E56" s="16">
        <f t="shared" ref="E56:E57" si="3">SUM(D56/52)</f>
        <v>0.13461538461538461</v>
      </c>
      <c r="F56" t="s">
        <v>311</v>
      </c>
    </row>
    <row r="57" spans="1:6" x14ac:dyDescent="0.2">
      <c r="A57" s="6" t="s">
        <v>140</v>
      </c>
      <c r="B57" s="7">
        <v>-3181.33</v>
      </c>
      <c r="C57" s="15" t="s">
        <v>282</v>
      </c>
      <c r="D57" s="15">
        <v>17</v>
      </c>
      <c r="E57" s="16">
        <f t="shared" si="3"/>
        <v>0.32692307692307693</v>
      </c>
      <c r="F57" t="s">
        <v>312</v>
      </c>
    </row>
    <row r="58" spans="1:6" x14ac:dyDescent="0.2">
      <c r="A58" s="6" t="s">
        <v>267</v>
      </c>
      <c r="B58" s="7">
        <v>-3143</v>
      </c>
      <c r="C58" s="15" t="s">
        <v>282</v>
      </c>
      <c r="E58" s="16"/>
      <c r="F58" t="s">
        <v>300</v>
      </c>
    </row>
    <row r="59" spans="1:6" x14ac:dyDescent="0.2">
      <c r="A59" s="6" t="s">
        <v>21</v>
      </c>
      <c r="B59" s="7">
        <v>-2892.83</v>
      </c>
      <c r="C59" s="15" t="s">
        <v>282</v>
      </c>
      <c r="D59" s="15">
        <v>6</v>
      </c>
      <c r="E59" s="16">
        <f t="shared" ref="E59:E71" si="4">SUM(D59/52)</f>
        <v>0.11538461538461539</v>
      </c>
      <c r="F59" t="s">
        <v>313</v>
      </c>
    </row>
    <row r="60" spans="1:6" x14ac:dyDescent="0.2">
      <c r="A60" s="6" t="s">
        <v>212</v>
      </c>
      <c r="B60" s="7">
        <v>-2868.75</v>
      </c>
      <c r="C60" s="15" t="s">
        <v>282</v>
      </c>
      <c r="D60" s="15">
        <v>8</v>
      </c>
      <c r="E60" s="16">
        <f t="shared" si="4"/>
        <v>0.15384615384615385</v>
      </c>
      <c r="F60" t="s">
        <v>314</v>
      </c>
    </row>
    <row r="61" spans="1:6" x14ac:dyDescent="0.2">
      <c r="A61" s="6" t="s">
        <v>214</v>
      </c>
      <c r="B61" s="7">
        <v>-2706</v>
      </c>
      <c r="C61" s="15" t="s">
        <v>282</v>
      </c>
      <c r="D61" s="15">
        <v>7</v>
      </c>
      <c r="E61" s="16">
        <f t="shared" si="4"/>
        <v>0.13461538461538461</v>
      </c>
      <c r="F61" t="s">
        <v>314</v>
      </c>
    </row>
    <row r="62" spans="1:6" x14ac:dyDescent="0.2">
      <c r="A62" s="6" t="s">
        <v>189</v>
      </c>
      <c r="B62" s="7">
        <v>-2608.5</v>
      </c>
      <c r="C62" s="15" t="s">
        <v>282</v>
      </c>
      <c r="D62" s="15">
        <v>16</v>
      </c>
      <c r="E62" s="16">
        <f t="shared" si="4"/>
        <v>0.30769230769230771</v>
      </c>
      <c r="F62" t="s">
        <v>315</v>
      </c>
    </row>
    <row r="63" spans="1:6" x14ac:dyDescent="0.2">
      <c r="A63" s="6" t="s">
        <v>55</v>
      </c>
      <c r="B63" s="7">
        <v>-2596.5</v>
      </c>
      <c r="C63" s="15" t="s">
        <v>282</v>
      </c>
      <c r="D63" s="15">
        <v>2</v>
      </c>
      <c r="E63" s="16">
        <f t="shared" si="4"/>
        <v>3.8461538461538464E-2</v>
      </c>
      <c r="F63" t="s">
        <v>316</v>
      </c>
    </row>
    <row r="64" spans="1:6" x14ac:dyDescent="0.2">
      <c r="A64" s="6" t="s">
        <v>184</v>
      </c>
      <c r="B64" s="7">
        <v>-2558.4</v>
      </c>
      <c r="C64" s="15" t="s">
        <v>282</v>
      </c>
      <c r="D64" s="15">
        <v>19</v>
      </c>
      <c r="E64" s="16">
        <f t="shared" si="4"/>
        <v>0.36538461538461536</v>
      </c>
      <c r="F64" t="s">
        <v>317</v>
      </c>
    </row>
    <row r="65" spans="1:6" x14ac:dyDescent="0.2">
      <c r="A65" s="6" t="s">
        <v>260</v>
      </c>
      <c r="B65" s="7">
        <v>-2505.5</v>
      </c>
      <c r="C65" s="15" t="s">
        <v>282</v>
      </c>
      <c r="D65" s="15">
        <v>1</v>
      </c>
      <c r="E65" s="16">
        <f t="shared" si="4"/>
        <v>1.9230769230769232E-2</v>
      </c>
      <c r="F65" t="s">
        <v>318</v>
      </c>
    </row>
    <row r="66" spans="1:6" x14ac:dyDescent="0.2">
      <c r="A66" s="6" t="s">
        <v>204</v>
      </c>
      <c r="B66" s="7">
        <v>-2457.27</v>
      </c>
      <c r="C66" s="15" t="s">
        <v>282</v>
      </c>
      <c r="D66" s="15">
        <v>8</v>
      </c>
      <c r="E66" s="16">
        <f t="shared" si="4"/>
        <v>0.15384615384615385</v>
      </c>
      <c r="F66" t="s">
        <v>306</v>
      </c>
    </row>
    <row r="67" spans="1:6" x14ac:dyDescent="0.2">
      <c r="A67" s="6" t="s">
        <v>86</v>
      </c>
      <c r="B67" s="7">
        <v>-2307.98</v>
      </c>
      <c r="C67" s="15" t="s">
        <v>282</v>
      </c>
      <c r="D67" s="15">
        <v>5</v>
      </c>
      <c r="E67" s="16">
        <f t="shared" si="4"/>
        <v>9.6153846153846159E-2</v>
      </c>
      <c r="F67" t="s">
        <v>319</v>
      </c>
    </row>
    <row r="68" spans="1:6" x14ac:dyDescent="0.2">
      <c r="A68" s="6" t="s">
        <v>27</v>
      </c>
      <c r="B68" s="7">
        <v>-2280</v>
      </c>
      <c r="C68" s="15" t="s">
        <v>282</v>
      </c>
      <c r="D68" s="15">
        <v>15</v>
      </c>
      <c r="E68" s="16">
        <f t="shared" si="4"/>
        <v>0.28846153846153844</v>
      </c>
      <c r="F68" t="s">
        <v>320</v>
      </c>
    </row>
    <row r="69" spans="1:6" x14ac:dyDescent="0.2">
      <c r="A69" s="6" t="s">
        <v>144</v>
      </c>
      <c r="B69" s="7">
        <v>-2205.8000000000002</v>
      </c>
      <c r="C69" s="15" t="s">
        <v>282</v>
      </c>
      <c r="D69" s="15">
        <v>13</v>
      </c>
      <c r="E69" s="16">
        <f t="shared" si="4"/>
        <v>0.25</v>
      </c>
      <c r="F69" t="s">
        <v>304</v>
      </c>
    </row>
    <row r="70" spans="1:6" x14ac:dyDescent="0.2">
      <c r="A70" s="6" t="s">
        <v>36</v>
      </c>
      <c r="B70" s="7">
        <v>-2141.9499999999998</v>
      </c>
      <c r="C70" s="15" t="s">
        <v>282</v>
      </c>
      <c r="D70" s="15">
        <v>3</v>
      </c>
      <c r="E70" s="16">
        <f t="shared" si="4"/>
        <v>5.7692307692307696E-2</v>
      </c>
      <c r="F70" t="s">
        <v>314</v>
      </c>
    </row>
    <row r="71" spans="1:6" x14ac:dyDescent="0.2">
      <c r="A71" s="6" t="s">
        <v>113</v>
      </c>
      <c r="B71" s="7">
        <v>-2133.27</v>
      </c>
      <c r="C71" s="15" t="s">
        <v>282</v>
      </c>
      <c r="D71" s="15">
        <v>4</v>
      </c>
      <c r="E71" s="16">
        <f t="shared" si="4"/>
        <v>7.6923076923076927E-2</v>
      </c>
      <c r="F71" t="s">
        <v>321</v>
      </c>
    </row>
    <row r="72" spans="1:6" x14ac:dyDescent="0.2">
      <c r="A72" s="6" t="s">
        <v>151</v>
      </c>
      <c r="B72" s="7">
        <v>-2110</v>
      </c>
      <c r="C72" s="15" t="s">
        <v>282</v>
      </c>
      <c r="D72" s="15">
        <v>9</v>
      </c>
      <c r="E72" s="16">
        <f>SUM(D72/42)</f>
        <v>0.21428571428571427</v>
      </c>
      <c r="F72" t="s">
        <v>323</v>
      </c>
    </row>
    <row r="73" spans="1:6" x14ac:dyDescent="0.2">
      <c r="A73" s="6" t="s">
        <v>179</v>
      </c>
      <c r="B73" s="7">
        <v>-2013.5</v>
      </c>
      <c r="C73" s="15" t="s">
        <v>282</v>
      </c>
      <c r="D73" s="15">
        <v>6</v>
      </c>
      <c r="E73" s="16">
        <f>SUM(D73/40)</f>
        <v>0.15</v>
      </c>
      <c r="F73" t="s">
        <v>322</v>
      </c>
    </row>
    <row r="74" spans="1:6" x14ac:dyDescent="0.2">
      <c r="A74" s="6" t="s">
        <v>158</v>
      </c>
      <c r="B74" s="7">
        <v>-1859.32</v>
      </c>
      <c r="C74" s="15" t="s">
        <v>282</v>
      </c>
      <c r="E74" s="16"/>
      <c r="F74" t="s">
        <v>324</v>
      </c>
    </row>
    <row r="75" spans="1:6" x14ac:dyDescent="0.2">
      <c r="A75" s="6" t="s">
        <v>206</v>
      </c>
      <c r="B75" s="7">
        <v>-1818</v>
      </c>
      <c r="C75" s="15" t="s">
        <v>282</v>
      </c>
      <c r="D75" s="15">
        <v>10</v>
      </c>
      <c r="E75" s="16">
        <f>SUM(D75/52)</f>
        <v>0.19230769230769232</v>
      </c>
      <c r="F75" t="s">
        <v>325</v>
      </c>
    </row>
    <row r="76" spans="1:6" x14ac:dyDescent="0.2">
      <c r="A76" s="6" t="s">
        <v>85</v>
      </c>
      <c r="B76" s="7">
        <v>-1803.58</v>
      </c>
      <c r="C76" s="15" t="s">
        <v>282</v>
      </c>
      <c r="E76" s="16"/>
      <c r="F76" t="s">
        <v>324</v>
      </c>
    </row>
    <row r="77" spans="1:6" x14ac:dyDescent="0.2">
      <c r="A77" s="6" t="s">
        <v>45</v>
      </c>
      <c r="B77" s="7">
        <v>-1796.56</v>
      </c>
      <c r="C77" s="15" t="s">
        <v>282</v>
      </c>
      <c r="E77" s="16"/>
      <c r="F77" t="s">
        <v>324</v>
      </c>
    </row>
    <row r="78" spans="1:6" x14ac:dyDescent="0.2">
      <c r="A78" s="6" t="s">
        <v>40</v>
      </c>
      <c r="B78" s="7">
        <v>-1642.72</v>
      </c>
      <c r="C78" s="15" t="s">
        <v>282</v>
      </c>
      <c r="D78" s="15">
        <v>5</v>
      </c>
      <c r="E78" s="16">
        <f>SUM(D78/52)</f>
        <v>9.6153846153846159E-2</v>
      </c>
      <c r="F78" t="s">
        <v>304</v>
      </c>
    </row>
    <row r="79" spans="1:6" x14ac:dyDescent="0.2">
      <c r="A79" s="6" t="s">
        <v>79</v>
      </c>
      <c r="B79" s="7">
        <v>-1600.17</v>
      </c>
      <c r="C79" s="15" t="s">
        <v>282</v>
      </c>
      <c r="E79" s="16"/>
      <c r="F79" t="s">
        <v>324</v>
      </c>
    </row>
    <row r="80" spans="1:6" x14ac:dyDescent="0.2">
      <c r="A80" s="6" t="s">
        <v>120</v>
      </c>
      <c r="B80" s="7">
        <v>-1541</v>
      </c>
      <c r="C80" s="15" t="s">
        <v>282</v>
      </c>
      <c r="D80" s="15">
        <v>8</v>
      </c>
      <c r="E80" s="16"/>
      <c r="F80" t="s">
        <v>326</v>
      </c>
    </row>
    <row r="81" spans="1:6" x14ac:dyDescent="0.2">
      <c r="A81" s="6" t="s">
        <v>154</v>
      </c>
      <c r="B81" s="7">
        <v>-1477.27</v>
      </c>
      <c r="C81" s="15" t="s">
        <v>282</v>
      </c>
      <c r="D81" s="15">
        <v>2</v>
      </c>
      <c r="E81" s="16">
        <f>SUM(D81/52)</f>
        <v>3.8461538461538464E-2</v>
      </c>
      <c r="F81" t="s">
        <v>327</v>
      </c>
    </row>
    <row r="82" spans="1:6" x14ac:dyDescent="0.2">
      <c r="A82" s="6" t="s">
        <v>39</v>
      </c>
      <c r="B82" s="7">
        <v>-1394.54</v>
      </c>
      <c r="C82" s="15" t="s">
        <v>282</v>
      </c>
      <c r="D82" s="15">
        <v>5</v>
      </c>
      <c r="E82" s="16">
        <f>SUM(D82/52)</f>
        <v>9.6153846153846159E-2</v>
      </c>
      <c r="F82" t="s">
        <v>304</v>
      </c>
    </row>
    <row r="83" spans="1:6" x14ac:dyDescent="0.2">
      <c r="A83" s="6" t="s">
        <v>105</v>
      </c>
      <c r="B83" s="7">
        <v>-1368.5</v>
      </c>
      <c r="C83" s="15" t="s">
        <v>282</v>
      </c>
      <c r="E83" s="16"/>
      <c r="F83" t="s">
        <v>324</v>
      </c>
    </row>
    <row r="84" spans="1:6" x14ac:dyDescent="0.2">
      <c r="A84" s="6" t="s">
        <v>180</v>
      </c>
      <c r="B84" s="7">
        <v>-1356.65</v>
      </c>
      <c r="C84" s="15" t="s">
        <v>282</v>
      </c>
      <c r="D84" s="15">
        <v>16</v>
      </c>
      <c r="E84" s="16">
        <f>SUM(D84/52)</f>
        <v>0.30769230769230771</v>
      </c>
      <c r="F84" t="s">
        <v>304</v>
      </c>
    </row>
    <row r="85" spans="1:6" x14ac:dyDescent="0.2">
      <c r="A85" s="6" t="s">
        <v>183</v>
      </c>
      <c r="B85" s="7">
        <v>-1234.57</v>
      </c>
      <c r="C85" s="15" t="s">
        <v>282</v>
      </c>
      <c r="D85" s="15">
        <v>4</v>
      </c>
      <c r="E85" s="16">
        <f>SUM(D85/52)</f>
        <v>7.6923076923076927E-2</v>
      </c>
      <c r="F85" t="s">
        <v>304</v>
      </c>
    </row>
    <row r="86" spans="1:6" x14ac:dyDescent="0.2">
      <c r="A86" s="6" t="s">
        <v>169</v>
      </c>
      <c r="B86" s="7">
        <v>-1210.9100000000001</v>
      </c>
      <c r="C86" s="15" t="s">
        <v>282</v>
      </c>
      <c r="E86" s="16"/>
    </row>
    <row r="87" spans="1:6" x14ac:dyDescent="0.2">
      <c r="A87" s="6" t="s">
        <v>248</v>
      </c>
      <c r="B87" s="7">
        <v>-1207.2</v>
      </c>
      <c r="C87" s="15" t="s">
        <v>282</v>
      </c>
      <c r="D87" s="15">
        <v>4</v>
      </c>
      <c r="E87" s="16">
        <f>SUM(D87/52)</f>
        <v>7.6923076923076927E-2</v>
      </c>
      <c r="F87" t="s">
        <v>328</v>
      </c>
    </row>
    <row r="88" spans="1:6" x14ac:dyDescent="0.2">
      <c r="A88" s="6" t="s">
        <v>242</v>
      </c>
      <c r="B88" s="7">
        <v>-1124.3</v>
      </c>
      <c r="C88" s="15" t="s">
        <v>282</v>
      </c>
      <c r="D88" s="15">
        <v>9</v>
      </c>
      <c r="E88" s="16">
        <f>SUM(D88/52)</f>
        <v>0.17307692307692307</v>
      </c>
      <c r="F88" t="s">
        <v>304</v>
      </c>
    </row>
    <row r="89" spans="1:6" x14ac:dyDescent="0.2">
      <c r="A89" s="6" t="s">
        <v>125</v>
      </c>
      <c r="B89" s="7">
        <v>-1070</v>
      </c>
      <c r="C89" s="15" t="s">
        <v>282</v>
      </c>
      <c r="E89" s="16"/>
      <c r="F89" t="s">
        <v>324</v>
      </c>
    </row>
    <row r="90" spans="1:6" x14ac:dyDescent="0.2">
      <c r="A90" s="6" t="s">
        <v>155</v>
      </c>
      <c r="B90" s="7">
        <v>-987.36</v>
      </c>
      <c r="C90" s="15" t="s">
        <v>282</v>
      </c>
      <c r="D90" s="15">
        <v>6</v>
      </c>
      <c r="E90" s="16">
        <f>SUM(D90/52)</f>
        <v>0.11538461538461539</v>
      </c>
      <c r="F90" t="s">
        <v>329</v>
      </c>
    </row>
    <row r="91" spans="1:6" x14ac:dyDescent="0.2">
      <c r="A91" s="6" t="s">
        <v>70</v>
      </c>
      <c r="B91" s="7">
        <v>-936</v>
      </c>
      <c r="C91" s="15" t="s">
        <v>282</v>
      </c>
      <c r="D91" s="15">
        <v>14</v>
      </c>
      <c r="E91" s="16">
        <f>SUM(D91/52)</f>
        <v>0.26923076923076922</v>
      </c>
      <c r="F91" t="s">
        <v>330</v>
      </c>
    </row>
    <row r="92" spans="1:6" x14ac:dyDescent="0.2">
      <c r="A92" s="6" t="s">
        <v>137</v>
      </c>
      <c r="B92" s="7">
        <v>-879.74</v>
      </c>
      <c r="C92" s="15" t="s">
        <v>282</v>
      </c>
      <c r="D92" s="15">
        <v>2</v>
      </c>
      <c r="E92" s="16">
        <f>SUM(D92/52)</f>
        <v>3.8461538461538464E-2</v>
      </c>
      <c r="F92" t="s">
        <v>331</v>
      </c>
    </row>
    <row r="93" spans="1:6" x14ac:dyDescent="0.2">
      <c r="A93" s="6" t="s">
        <v>116</v>
      </c>
      <c r="B93" s="7">
        <v>-875</v>
      </c>
      <c r="C93" s="15" t="s">
        <v>282</v>
      </c>
      <c r="D93" s="15">
        <v>3</v>
      </c>
      <c r="E93" s="16">
        <f>SUM(D93/52)</f>
        <v>5.7692307692307696E-2</v>
      </c>
      <c r="F93" t="s">
        <v>332</v>
      </c>
    </row>
    <row r="94" spans="1:6" x14ac:dyDescent="0.2">
      <c r="A94" s="6" t="s">
        <v>185</v>
      </c>
      <c r="B94" s="7">
        <v>-855</v>
      </c>
      <c r="C94" s="15" t="s">
        <v>282</v>
      </c>
      <c r="D94" s="15">
        <v>6</v>
      </c>
      <c r="E94" s="16">
        <f>SUM(D94/8)</f>
        <v>0.75</v>
      </c>
      <c r="F94" t="s">
        <v>333</v>
      </c>
    </row>
    <row r="95" spans="1:6" x14ac:dyDescent="0.2">
      <c r="A95" s="6" t="s">
        <v>157</v>
      </c>
      <c r="B95" s="7">
        <v>-696</v>
      </c>
      <c r="C95" s="15" t="s">
        <v>282</v>
      </c>
      <c r="D95" s="15">
        <v>4</v>
      </c>
      <c r="E95" s="16">
        <f>SUM(D95/26)</f>
        <v>0.15384615384615385</v>
      </c>
      <c r="F95" t="s">
        <v>334</v>
      </c>
    </row>
    <row r="96" spans="1:6" x14ac:dyDescent="0.2">
      <c r="A96" s="6" t="s">
        <v>29</v>
      </c>
      <c r="B96" s="7">
        <v>-653.5</v>
      </c>
      <c r="C96" s="15" t="s">
        <v>282</v>
      </c>
      <c r="E96" s="16"/>
      <c r="F96" t="s">
        <v>335</v>
      </c>
    </row>
    <row r="97" spans="1:6" x14ac:dyDescent="0.2">
      <c r="A97" s="6" t="s">
        <v>114</v>
      </c>
      <c r="B97" s="7">
        <v>-651</v>
      </c>
      <c r="C97" s="15" t="s">
        <v>282</v>
      </c>
      <c r="D97" s="15">
        <v>2</v>
      </c>
      <c r="E97" s="16">
        <f>SUM(D97/52)</f>
        <v>3.8461538461538464E-2</v>
      </c>
      <c r="F97" t="s">
        <v>336</v>
      </c>
    </row>
    <row r="98" spans="1:6" x14ac:dyDescent="0.2">
      <c r="A98" s="6" t="s">
        <v>271</v>
      </c>
      <c r="B98" s="7">
        <v>-608.80999999999995</v>
      </c>
      <c r="C98" s="15" t="s">
        <v>282</v>
      </c>
      <c r="D98" s="15">
        <v>4</v>
      </c>
      <c r="E98" s="16"/>
      <c r="F98" t="s">
        <v>337</v>
      </c>
    </row>
    <row r="99" spans="1:6" x14ac:dyDescent="0.2">
      <c r="A99" s="6" t="s">
        <v>220</v>
      </c>
      <c r="B99" s="7">
        <v>-537.1</v>
      </c>
      <c r="C99" s="15" t="s">
        <v>282</v>
      </c>
      <c r="D99" s="15">
        <v>2</v>
      </c>
      <c r="E99" s="16"/>
      <c r="F99" t="s">
        <v>338</v>
      </c>
    </row>
    <row r="100" spans="1:6" x14ac:dyDescent="0.2">
      <c r="A100" s="6" t="s">
        <v>229</v>
      </c>
      <c r="B100" s="7">
        <v>-530.5</v>
      </c>
      <c r="C100" s="15" t="s">
        <v>282</v>
      </c>
      <c r="D100" s="15">
        <v>3</v>
      </c>
      <c r="E100" s="16">
        <f>SUM(D100/12)</f>
        <v>0.25</v>
      </c>
      <c r="F100" t="s">
        <v>339</v>
      </c>
    </row>
    <row r="101" spans="1:6" x14ac:dyDescent="0.2">
      <c r="A101" s="6" t="s">
        <v>41</v>
      </c>
      <c r="B101" s="7">
        <v>-491.4</v>
      </c>
      <c r="C101" s="15" t="s">
        <v>282</v>
      </c>
      <c r="D101" s="15">
        <v>3</v>
      </c>
      <c r="E101" s="16"/>
      <c r="F101" t="s">
        <v>340</v>
      </c>
    </row>
    <row r="102" spans="1:6" x14ac:dyDescent="0.2">
      <c r="A102" s="6" t="s">
        <v>245</v>
      </c>
      <c r="B102" s="7">
        <v>-456.5</v>
      </c>
      <c r="C102" s="15" t="s">
        <v>282</v>
      </c>
      <c r="D102" s="15">
        <v>1</v>
      </c>
      <c r="E102" s="16"/>
      <c r="F102" t="s">
        <v>341</v>
      </c>
    </row>
    <row r="103" spans="1:6" x14ac:dyDescent="0.2">
      <c r="A103" s="6" t="s">
        <v>247</v>
      </c>
      <c r="B103" s="7">
        <v>-456</v>
      </c>
      <c r="C103" s="15" t="s">
        <v>282</v>
      </c>
      <c r="D103" s="15">
        <v>1</v>
      </c>
      <c r="E103" s="16"/>
      <c r="F103" t="s">
        <v>342</v>
      </c>
    </row>
    <row r="104" spans="1:6" x14ac:dyDescent="0.2">
      <c r="A104" s="6" t="s">
        <v>186</v>
      </c>
      <c r="B104" s="7">
        <v>-421.1</v>
      </c>
      <c r="C104" s="15" t="s">
        <v>282</v>
      </c>
      <c r="E104" s="16"/>
      <c r="F104" t="s">
        <v>343</v>
      </c>
    </row>
    <row r="105" spans="1:6" x14ac:dyDescent="0.2">
      <c r="A105" s="6" t="s">
        <v>222</v>
      </c>
      <c r="B105" s="7">
        <v>-397.15</v>
      </c>
      <c r="C105" s="15" t="s">
        <v>282</v>
      </c>
      <c r="E105" s="16"/>
      <c r="F105" t="s">
        <v>343</v>
      </c>
    </row>
    <row r="106" spans="1:6" x14ac:dyDescent="0.2">
      <c r="A106" s="6" t="s">
        <v>84</v>
      </c>
      <c r="B106" s="7">
        <v>-365.6</v>
      </c>
      <c r="C106" s="15" t="s">
        <v>282</v>
      </c>
      <c r="E106" s="16"/>
      <c r="F106" t="s">
        <v>343</v>
      </c>
    </row>
    <row r="107" spans="1:6" x14ac:dyDescent="0.2">
      <c r="A107" s="6" t="s">
        <v>115</v>
      </c>
      <c r="B107" s="7">
        <v>-350</v>
      </c>
      <c r="C107" s="15" t="s">
        <v>282</v>
      </c>
      <c r="E107" s="16"/>
      <c r="F107" t="s">
        <v>342</v>
      </c>
    </row>
    <row r="108" spans="1:6" x14ac:dyDescent="0.2">
      <c r="A108" s="6" t="s">
        <v>195</v>
      </c>
      <c r="B108" s="7">
        <v>-340.2</v>
      </c>
      <c r="C108" s="15" t="s">
        <v>282</v>
      </c>
      <c r="E108" s="16"/>
      <c r="F108" t="s">
        <v>343</v>
      </c>
    </row>
    <row r="109" spans="1:6" x14ac:dyDescent="0.2">
      <c r="A109" s="6" t="s">
        <v>42</v>
      </c>
      <c r="B109" s="7">
        <v>-323.10000000000002</v>
      </c>
      <c r="C109" s="15" t="s">
        <v>282</v>
      </c>
      <c r="E109" s="16"/>
      <c r="F109" t="s">
        <v>344</v>
      </c>
    </row>
    <row r="110" spans="1:6" x14ac:dyDescent="0.2">
      <c r="A110" s="6" t="s">
        <v>82</v>
      </c>
      <c r="B110" s="7">
        <v>-300</v>
      </c>
      <c r="C110" s="15" t="s">
        <v>282</v>
      </c>
      <c r="D110" s="15">
        <v>2</v>
      </c>
      <c r="E110" s="16"/>
      <c r="F110" t="s">
        <v>345</v>
      </c>
    </row>
    <row r="111" spans="1:6" x14ac:dyDescent="0.2">
      <c r="A111" s="6" t="s">
        <v>346</v>
      </c>
      <c r="B111" s="7">
        <v>-295</v>
      </c>
      <c r="C111" s="15" t="s">
        <v>282</v>
      </c>
      <c r="E111" s="16"/>
      <c r="F111" t="s">
        <v>347</v>
      </c>
    </row>
    <row r="112" spans="1:6" x14ac:dyDescent="0.2">
      <c r="A112" s="6" t="s">
        <v>348</v>
      </c>
      <c r="B112" s="7">
        <v>-294.55</v>
      </c>
      <c r="C112" s="15" t="s">
        <v>282</v>
      </c>
      <c r="D112" s="15">
        <v>5</v>
      </c>
      <c r="E112" s="16">
        <f>SUM(D112/20)</f>
        <v>0.25</v>
      </c>
      <c r="F112" t="s">
        <v>349</v>
      </c>
    </row>
    <row r="113" spans="1:6" x14ac:dyDescent="0.2">
      <c r="A113" s="6" t="s">
        <v>117</v>
      </c>
      <c r="B113" s="7">
        <v>-281.5</v>
      </c>
      <c r="C113" s="15" t="s">
        <v>282</v>
      </c>
      <c r="D113" s="15">
        <v>1</v>
      </c>
      <c r="E113" s="16"/>
      <c r="F113" t="s">
        <v>350</v>
      </c>
    </row>
    <row r="114" spans="1:6" x14ac:dyDescent="0.2">
      <c r="A114" s="6" t="s">
        <v>101</v>
      </c>
      <c r="B114" s="7">
        <v>-278.64</v>
      </c>
      <c r="C114" s="15" t="s">
        <v>282</v>
      </c>
      <c r="D114" s="15">
        <v>3</v>
      </c>
      <c r="E114" s="16"/>
      <c r="F114" t="s">
        <v>351</v>
      </c>
    </row>
    <row r="115" spans="1:6" x14ac:dyDescent="0.2">
      <c r="A115" s="6" t="s">
        <v>263</v>
      </c>
      <c r="B115" s="7">
        <v>-248</v>
      </c>
      <c r="C115" s="15" t="s">
        <v>282</v>
      </c>
      <c r="D115" s="15">
        <v>1</v>
      </c>
      <c r="E115" s="16"/>
      <c r="F115" t="s">
        <v>352</v>
      </c>
    </row>
    <row r="116" spans="1:6" x14ac:dyDescent="0.2">
      <c r="A116" s="6" t="s">
        <v>134</v>
      </c>
      <c r="B116" s="7">
        <v>-247</v>
      </c>
      <c r="C116" s="15" t="s">
        <v>282</v>
      </c>
      <c r="E116" s="16"/>
      <c r="F116" t="s">
        <v>353</v>
      </c>
    </row>
    <row r="117" spans="1:6" x14ac:dyDescent="0.2">
      <c r="A117" s="6" t="s">
        <v>127</v>
      </c>
      <c r="B117" s="7">
        <v>-241.3</v>
      </c>
      <c r="C117" s="15" t="s">
        <v>282</v>
      </c>
      <c r="D117" s="15">
        <v>1</v>
      </c>
      <c r="E117" s="16"/>
      <c r="F117" t="s">
        <v>354</v>
      </c>
    </row>
    <row r="118" spans="1:6" x14ac:dyDescent="0.2">
      <c r="A118" s="6" t="s">
        <v>278</v>
      </c>
      <c r="B118" s="7">
        <v>-226.8</v>
      </c>
      <c r="C118" s="15" t="s">
        <v>282</v>
      </c>
      <c r="D118" s="15">
        <v>1</v>
      </c>
      <c r="E118" s="16"/>
      <c r="F118" t="s">
        <v>355</v>
      </c>
    </row>
    <row r="119" spans="1:6" x14ac:dyDescent="0.2">
      <c r="A119" s="6" t="s">
        <v>90</v>
      </c>
      <c r="B119" s="7">
        <v>-181</v>
      </c>
      <c r="C119" s="15" t="s">
        <v>282</v>
      </c>
      <c r="D119" s="15">
        <v>1</v>
      </c>
      <c r="E119" s="16"/>
      <c r="F119" t="s">
        <v>356</v>
      </c>
    </row>
    <row r="120" spans="1:6" x14ac:dyDescent="0.2">
      <c r="A120" s="6" t="s">
        <v>88</v>
      </c>
      <c r="B120" s="7">
        <v>-175</v>
      </c>
      <c r="C120" s="15" t="s">
        <v>282</v>
      </c>
      <c r="E120" s="16"/>
    </row>
    <row r="121" spans="1:6" x14ac:dyDescent="0.2">
      <c r="A121" s="6" t="s">
        <v>68</v>
      </c>
      <c r="B121" s="7">
        <v>-159.09</v>
      </c>
      <c r="C121" s="15" t="s">
        <v>282</v>
      </c>
      <c r="D121" s="15">
        <v>1</v>
      </c>
      <c r="E121" s="16"/>
      <c r="F121" t="s">
        <v>352</v>
      </c>
    </row>
    <row r="122" spans="1:6" x14ac:dyDescent="0.2">
      <c r="A122" s="6" t="s">
        <v>107</v>
      </c>
      <c r="B122" s="7">
        <v>-158.33000000000001</v>
      </c>
      <c r="C122" s="15" t="s">
        <v>282</v>
      </c>
      <c r="D122" s="15">
        <v>3</v>
      </c>
      <c r="E122" s="16"/>
      <c r="F122" t="s">
        <v>357</v>
      </c>
    </row>
    <row r="123" spans="1:6" x14ac:dyDescent="0.2">
      <c r="A123" s="6" t="s">
        <v>15</v>
      </c>
      <c r="B123" s="7">
        <v>-153.4</v>
      </c>
      <c r="C123" s="15" t="s">
        <v>282</v>
      </c>
      <c r="D123" s="15">
        <v>1</v>
      </c>
      <c r="F123" t="s">
        <v>352</v>
      </c>
    </row>
    <row r="124" spans="1:6" x14ac:dyDescent="0.2">
      <c r="A124" s="6" t="s">
        <v>94</v>
      </c>
      <c r="B124" s="7">
        <v>-147.28</v>
      </c>
      <c r="C124" s="15" t="s">
        <v>282</v>
      </c>
      <c r="D124" s="15">
        <v>6</v>
      </c>
      <c r="E124" s="16"/>
      <c r="F124" t="s">
        <v>358</v>
      </c>
    </row>
    <row r="125" spans="1:6" x14ac:dyDescent="0.2">
      <c r="A125" s="6" t="s">
        <v>112</v>
      </c>
      <c r="B125" s="7">
        <v>-144.15</v>
      </c>
      <c r="C125" s="15" t="s">
        <v>282</v>
      </c>
      <c r="D125" s="15">
        <v>1</v>
      </c>
      <c r="E125" s="16"/>
      <c r="F125" t="s">
        <v>344</v>
      </c>
    </row>
    <row r="126" spans="1:6" x14ac:dyDescent="0.2">
      <c r="A126" s="6" t="s">
        <v>164</v>
      </c>
      <c r="B126" s="7">
        <v>-143.69999999999999</v>
      </c>
      <c r="C126" s="15" t="s">
        <v>282</v>
      </c>
      <c r="E126" s="16"/>
    </row>
    <row r="127" spans="1:6" x14ac:dyDescent="0.2">
      <c r="A127" s="6" t="s">
        <v>128</v>
      </c>
      <c r="B127" s="7">
        <v>-113.95</v>
      </c>
      <c r="C127" s="15" t="s">
        <v>282</v>
      </c>
      <c r="D127" s="15">
        <v>1</v>
      </c>
      <c r="E127" s="16"/>
      <c r="F127" t="s">
        <v>359</v>
      </c>
    </row>
    <row r="128" spans="1:6" x14ac:dyDescent="0.2">
      <c r="A128" s="6" t="s">
        <v>108</v>
      </c>
      <c r="B128" s="7">
        <v>-111.36</v>
      </c>
      <c r="C128" s="15" t="s">
        <v>282</v>
      </c>
      <c r="E128" s="16"/>
      <c r="F128" t="s">
        <v>360</v>
      </c>
    </row>
    <row r="129" spans="1:6" x14ac:dyDescent="0.2">
      <c r="A129" s="6" t="s">
        <v>142</v>
      </c>
      <c r="B129" s="7">
        <v>-110.85</v>
      </c>
      <c r="C129" s="15" t="s">
        <v>282</v>
      </c>
      <c r="D129" s="15">
        <v>1</v>
      </c>
      <c r="E129" s="16"/>
      <c r="F129" t="s">
        <v>361</v>
      </c>
    </row>
    <row r="130" spans="1:6" x14ac:dyDescent="0.2">
      <c r="A130" s="6" t="s">
        <v>109</v>
      </c>
      <c r="B130" s="7">
        <v>-100</v>
      </c>
      <c r="C130" s="15" t="s">
        <v>282</v>
      </c>
      <c r="D130" s="15">
        <v>1</v>
      </c>
      <c r="E130" s="16"/>
      <c r="F130" s="17" t="s">
        <v>362</v>
      </c>
    </row>
    <row r="131" spans="1:6" x14ac:dyDescent="0.2">
      <c r="A131" s="6" t="s">
        <v>223</v>
      </c>
      <c r="B131" s="7">
        <v>-100</v>
      </c>
      <c r="C131" s="15" t="s">
        <v>282</v>
      </c>
      <c r="D131" s="15">
        <v>1</v>
      </c>
      <c r="E131" s="16"/>
      <c r="F131" t="s">
        <v>363</v>
      </c>
    </row>
    <row r="132" spans="1:6" x14ac:dyDescent="0.2">
      <c r="A132" s="6" t="s">
        <v>111</v>
      </c>
      <c r="B132" s="7">
        <v>-82.5</v>
      </c>
      <c r="C132" s="15" t="s">
        <v>282</v>
      </c>
      <c r="D132" s="15">
        <v>1</v>
      </c>
      <c r="E132" s="16"/>
      <c r="F132" t="s">
        <v>363</v>
      </c>
    </row>
    <row r="133" spans="1:6" x14ac:dyDescent="0.2">
      <c r="A133" s="6" t="s">
        <v>31</v>
      </c>
      <c r="B133" s="7">
        <v>-20</v>
      </c>
      <c r="C133" s="15" t="s">
        <v>282</v>
      </c>
      <c r="D133" s="15">
        <v>1</v>
      </c>
      <c r="E133" s="16"/>
      <c r="F133" t="s">
        <v>357</v>
      </c>
    </row>
    <row r="134" spans="1:6" x14ac:dyDescent="0.2">
      <c r="A134" s="6" t="s">
        <v>197</v>
      </c>
      <c r="B134" s="7">
        <v>-15.5</v>
      </c>
      <c r="C134" s="15" t="s">
        <v>282</v>
      </c>
      <c r="D134" s="15">
        <v>2</v>
      </c>
      <c r="E134" s="16"/>
      <c r="F134" s="18" t="s">
        <v>364</v>
      </c>
    </row>
    <row r="262" spans="1:3" x14ac:dyDescent="0.2">
      <c r="A262" s="6" t="s">
        <v>7</v>
      </c>
      <c r="B262" s="7">
        <v>0</v>
      </c>
      <c r="C262" s="15"/>
    </row>
    <row r="263" spans="1:3" x14ac:dyDescent="0.2">
      <c r="A263" s="6" t="s">
        <v>58</v>
      </c>
      <c r="B263" s="7">
        <v>0</v>
      </c>
      <c r="C263" s="15"/>
    </row>
    <row r="264" spans="1:3" x14ac:dyDescent="0.2">
      <c r="A264" s="6" t="s">
        <v>71</v>
      </c>
      <c r="B264" s="7">
        <v>0</v>
      </c>
      <c r="C264" s="15"/>
    </row>
    <row r="265" spans="1:3" x14ac:dyDescent="0.2">
      <c r="A265" s="6" t="s">
        <v>83</v>
      </c>
      <c r="B265" s="7">
        <v>0</v>
      </c>
      <c r="C265" s="15"/>
    </row>
    <row r="266" spans="1:3" x14ac:dyDescent="0.2">
      <c r="A266" s="6" t="s">
        <v>87</v>
      </c>
      <c r="B266" s="7">
        <v>0</v>
      </c>
      <c r="C266" s="15"/>
    </row>
    <row r="267" spans="1:3" x14ac:dyDescent="0.2">
      <c r="A267" s="6" t="s">
        <v>91</v>
      </c>
      <c r="B267" s="7">
        <v>0</v>
      </c>
      <c r="C267" s="15"/>
    </row>
    <row r="268" spans="1:3" x14ac:dyDescent="0.2">
      <c r="A268" s="6" t="s">
        <v>121</v>
      </c>
      <c r="B268" s="7">
        <v>0</v>
      </c>
      <c r="C268" s="15"/>
    </row>
    <row r="269" spans="1:3" x14ac:dyDescent="0.2">
      <c r="A269" s="6" t="s">
        <v>145</v>
      </c>
      <c r="B269" s="7">
        <v>0</v>
      </c>
      <c r="C269" s="15"/>
    </row>
    <row r="270" spans="1:3" x14ac:dyDescent="0.2">
      <c r="A270" s="6" t="s">
        <v>148</v>
      </c>
      <c r="B270" s="7">
        <v>0</v>
      </c>
      <c r="C270" s="15"/>
    </row>
    <row r="271" spans="1:3" x14ac:dyDescent="0.2">
      <c r="A271" s="6" t="s">
        <v>152</v>
      </c>
      <c r="B271" s="7">
        <v>0</v>
      </c>
      <c r="C271" s="15"/>
    </row>
    <row r="272" spans="1:3" x14ac:dyDescent="0.2">
      <c r="A272" s="6" t="s">
        <v>170</v>
      </c>
      <c r="B272" s="7">
        <v>0</v>
      </c>
      <c r="C272" s="15"/>
    </row>
    <row r="273" spans="1:3" x14ac:dyDescent="0.2">
      <c r="A273" s="6" t="s">
        <v>171</v>
      </c>
      <c r="B273" s="7">
        <v>0</v>
      </c>
      <c r="C273" s="15"/>
    </row>
    <row r="274" spans="1:3" x14ac:dyDescent="0.2">
      <c r="A274" s="6" t="s">
        <v>175</v>
      </c>
      <c r="B274" s="7">
        <v>0</v>
      </c>
      <c r="C274" s="15"/>
    </row>
    <row r="275" spans="1:3" x14ac:dyDescent="0.2">
      <c r="A275" s="6" t="s">
        <v>188</v>
      </c>
      <c r="B275" s="7">
        <v>0</v>
      </c>
      <c r="C275" s="15"/>
    </row>
    <row r="276" spans="1:3" x14ac:dyDescent="0.2">
      <c r="A276" s="6" t="s">
        <v>190</v>
      </c>
      <c r="B276" s="7">
        <v>0</v>
      </c>
      <c r="C276" s="15"/>
    </row>
    <row r="277" spans="1:3" x14ac:dyDescent="0.2">
      <c r="A277" s="6" t="s">
        <v>205</v>
      </c>
      <c r="B277" s="7">
        <v>0</v>
      </c>
      <c r="C277" s="15"/>
    </row>
    <row r="278" spans="1:3" x14ac:dyDescent="0.2">
      <c r="A278" s="6" t="s">
        <v>213</v>
      </c>
      <c r="B278" s="7">
        <v>0</v>
      </c>
      <c r="C278" s="15"/>
    </row>
    <row r="279" spans="1:3" x14ac:dyDescent="0.2">
      <c r="A279" s="6" t="s">
        <v>221</v>
      </c>
      <c r="B279" s="7">
        <v>0</v>
      </c>
      <c r="C279" s="15"/>
    </row>
    <row r="280" spans="1:3" x14ac:dyDescent="0.2">
      <c r="A280" s="6" t="s">
        <v>246</v>
      </c>
      <c r="B280" s="7">
        <v>0</v>
      </c>
      <c r="C280" s="15"/>
    </row>
    <row r="281" spans="1:3" x14ac:dyDescent="0.2">
      <c r="A281" s="6" t="s">
        <v>257</v>
      </c>
      <c r="B281" s="7">
        <v>0</v>
      </c>
      <c r="C281" s="15"/>
    </row>
    <row r="282" spans="1:3" x14ac:dyDescent="0.2">
      <c r="A282" s="6" t="s">
        <v>261</v>
      </c>
      <c r="B282" s="7">
        <v>0</v>
      </c>
      <c r="C282" s="15"/>
    </row>
  </sheetData>
  <sortState xmlns:xlrd2="http://schemas.microsoft.com/office/spreadsheetml/2017/richdata2" ref="A7:C261">
    <sortCondition descending="1" ref="C7:C261"/>
    <sortCondition ref="B7:B261"/>
    <sortCondition ref="A7:A261"/>
  </sortState>
  <phoneticPr fontId="6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F25EA-4D16-4EEE-96E8-C8CA9DF8F0CA}">
  <dimension ref="A1:C133"/>
  <sheetViews>
    <sheetView workbookViewId="0">
      <selection activeCell="E10" sqref="E10"/>
    </sheetView>
  </sheetViews>
  <sheetFormatPr defaultRowHeight="11.4" x14ac:dyDescent="0.2"/>
  <cols>
    <col min="1" max="1" width="41.25" bestFit="1" customWidth="1"/>
    <col min="2" max="2" width="12" bestFit="1" customWidth="1"/>
  </cols>
  <sheetData>
    <row r="1" spans="1:3" ht="17.399999999999999" x14ac:dyDescent="0.3">
      <c r="A1" s="2" t="s">
        <v>0</v>
      </c>
      <c r="B1" s="2"/>
      <c r="C1" s="13"/>
    </row>
    <row r="2" spans="1:3" ht="15" x14ac:dyDescent="0.25">
      <c r="A2" s="4" t="s">
        <v>1</v>
      </c>
      <c r="B2" s="4"/>
      <c r="C2" s="14"/>
    </row>
    <row r="3" spans="1:3" ht="15" x14ac:dyDescent="0.25">
      <c r="A3" s="4" t="s">
        <v>2</v>
      </c>
      <c r="B3" s="4"/>
      <c r="C3" s="14"/>
    </row>
    <row r="4" spans="1:3" x14ac:dyDescent="0.2">
      <c r="C4" s="15"/>
    </row>
    <row r="5" spans="1:3" x14ac:dyDescent="0.2">
      <c r="A5" s="5" t="s">
        <v>3</v>
      </c>
      <c r="B5" t="s">
        <v>280</v>
      </c>
      <c r="C5" s="15" t="s">
        <v>281</v>
      </c>
    </row>
    <row r="6" spans="1:3" x14ac:dyDescent="0.2">
      <c r="A6" s="5"/>
      <c r="C6" s="15"/>
    </row>
    <row r="7" spans="1:3" x14ac:dyDescent="0.2">
      <c r="A7" s="6" t="s">
        <v>264</v>
      </c>
      <c r="B7" s="7">
        <v>-220032.68</v>
      </c>
      <c r="C7" s="15" t="s">
        <v>283</v>
      </c>
    </row>
    <row r="8" spans="1:3" x14ac:dyDescent="0.2">
      <c r="A8" s="6" t="s">
        <v>266</v>
      </c>
      <c r="B8" s="7">
        <v>-162780.17000000001</v>
      </c>
      <c r="C8" s="15" t="s">
        <v>283</v>
      </c>
    </row>
    <row r="9" spans="1:3" x14ac:dyDescent="0.2">
      <c r="A9" s="6" t="s">
        <v>89</v>
      </c>
      <c r="B9" s="7">
        <v>-81609.88</v>
      </c>
      <c r="C9" s="15" t="s">
        <v>283</v>
      </c>
    </row>
    <row r="10" spans="1:3" x14ac:dyDescent="0.2">
      <c r="A10" s="6" t="s">
        <v>110</v>
      </c>
      <c r="B10" s="7">
        <v>-36465.449999999997</v>
      </c>
      <c r="C10" s="15" t="s">
        <v>283</v>
      </c>
    </row>
    <row r="11" spans="1:3" x14ac:dyDescent="0.2">
      <c r="A11" s="6" t="s">
        <v>23</v>
      </c>
      <c r="B11" s="7">
        <v>-33586</v>
      </c>
      <c r="C11" s="15" t="s">
        <v>283</v>
      </c>
    </row>
    <row r="12" spans="1:3" x14ac:dyDescent="0.2">
      <c r="A12" s="6" t="s">
        <v>129</v>
      </c>
      <c r="B12" s="7">
        <v>-30941.42</v>
      </c>
      <c r="C12" s="15" t="s">
        <v>283</v>
      </c>
    </row>
    <row r="13" spans="1:3" x14ac:dyDescent="0.2">
      <c r="A13" s="6" t="s">
        <v>241</v>
      </c>
      <c r="B13" s="7">
        <v>-27637.86</v>
      </c>
      <c r="C13" s="15" t="s">
        <v>283</v>
      </c>
    </row>
    <row r="14" spans="1:3" x14ac:dyDescent="0.2">
      <c r="A14" s="6" t="s">
        <v>279</v>
      </c>
      <c r="B14" s="7">
        <v>-14030.09</v>
      </c>
      <c r="C14" s="15" t="s">
        <v>283</v>
      </c>
    </row>
    <row r="15" spans="1:3" x14ac:dyDescent="0.2">
      <c r="A15" s="6" t="s">
        <v>92</v>
      </c>
      <c r="B15" s="7">
        <v>-13580</v>
      </c>
      <c r="C15" s="15" t="s">
        <v>283</v>
      </c>
    </row>
    <row r="16" spans="1:3" x14ac:dyDescent="0.2">
      <c r="A16" s="6" t="s">
        <v>103</v>
      </c>
      <c r="B16" s="7">
        <v>-12098.65</v>
      </c>
      <c r="C16" s="15" t="s">
        <v>283</v>
      </c>
    </row>
    <row r="17" spans="1:3" x14ac:dyDescent="0.2">
      <c r="A17" s="6" t="s">
        <v>237</v>
      </c>
      <c r="B17" s="7">
        <v>-11787.54</v>
      </c>
      <c r="C17" s="15" t="s">
        <v>283</v>
      </c>
    </row>
    <row r="18" spans="1:3" x14ac:dyDescent="0.2">
      <c r="A18" s="6" t="s">
        <v>240</v>
      </c>
      <c r="B18" s="7">
        <v>-11645.72</v>
      </c>
      <c r="C18" s="15" t="s">
        <v>283</v>
      </c>
    </row>
    <row r="19" spans="1:3" x14ac:dyDescent="0.2">
      <c r="A19" s="6" t="s">
        <v>256</v>
      </c>
      <c r="B19" s="7">
        <v>-8876.01</v>
      </c>
      <c r="C19" s="15" t="s">
        <v>283</v>
      </c>
    </row>
    <row r="20" spans="1:3" x14ac:dyDescent="0.2">
      <c r="A20" s="6" t="s">
        <v>284</v>
      </c>
      <c r="B20" s="7">
        <v>-7454.65</v>
      </c>
      <c r="C20" s="15" t="s">
        <v>283</v>
      </c>
    </row>
    <row r="21" spans="1:3" x14ac:dyDescent="0.2">
      <c r="A21" s="6" t="s">
        <v>234</v>
      </c>
      <c r="B21" s="7">
        <v>-7344.6</v>
      </c>
      <c r="C21" s="15" t="s">
        <v>283</v>
      </c>
    </row>
    <row r="22" spans="1:3" x14ac:dyDescent="0.2">
      <c r="A22" s="6" t="s">
        <v>232</v>
      </c>
      <c r="B22" s="7">
        <v>-6484.93</v>
      </c>
      <c r="C22" s="15" t="s">
        <v>283</v>
      </c>
    </row>
    <row r="23" spans="1:3" x14ac:dyDescent="0.2">
      <c r="A23" s="6" t="s">
        <v>141</v>
      </c>
      <c r="B23" s="7">
        <v>-6150.95</v>
      </c>
      <c r="C23" s="15" t="s">
        <v>283</v>
      </c>
    </row>
    <row r="24" spans="1:3" x14ac:dyDescent="0.2">
      <c r="A24" s="6" t="s">
        <v>236</v>
      </c>
      <c r="B24" s="7">
        <v>-4971.33</v>
      </c>
      <c r="C24" s="15" t="s">
        <v>283</v>
      </c>
    </row>
    <row r="25" spans="1:3" x14ac:dyDescent="0.2">
      <c r="A25" s="6" t="s">
        <v>238</v>
      </c>
      <c r="B25" s="7">
        <v>-4753.91</v>
      </c>
      <c r="C25" s="15" t="s">
        <v>283</v>
      </c>
    </row>
    <row r="26" spans="1:3" x14ac:dyDescent="0.2">
      <c r="A26" s="6" t="s">
        <v>226</v>
      </c>
      <c r="B26" s="7">
        <v>-4723.24</v>
      </c>
      <c r="C26" s="15" t="s">
        <v>283</v>
      </c>
    </row>
    <row r="27" spans="1:3" x14ac:dyDescent="0.2">
      <c r="A27" s="6" t="s">
        <v>9</v>
      </c>
      <c r="B27" s="7">
        <v>-4498.1099999999997</v>
      </c>
      <c r="C27" s="15" t="s">
        <v>283</v>
      </c>
    </row>
    <row r="28" spans="1:3" x14ac:dyDescent="0.2">
      <c r="A28" s="6" t="s">
        <v>209</v>
      </c>
      <c r="B28" s="7">
        <v>-3867</v>
      </c>
      <c r="C28" s="15" t="s">
        <v>283</v>
      </c>
    </row>
    <row r="29" spans="1:3" x14ac:dyDescent="0.2">
      <c r="A29" s="6" t="s">
        <v>34</v>
      </c>
      <c r="B29" s="7">
        <v>-3500</v>
      </c>
      <c r="C29" s="15" t="s">
        <v>283</v>
      </c>
    </row>
    <row r="30" spans="1:3" x14ac:dyDescent="0.2">
      <c r="A30" s="6" t="s">
        <v>233</v>
      </c>
      <c r="B30" s="7">
        <v>-3395.73</v>
      </c>
      <c r="C30" s="15" t="s">
        <v>283</v>
      </c>
    </row>
    <row r="31" spans="1:3" x14ac:dyDescent="0.2">
      <c r="A31" s="6" t="s">
        <v>165</v>
      </c>
      <c r="B31" s="7">
        <v>-2690.97</v>
      </c>
      <c r="C31" s="15" t="s">
        <v>283</v>
      </c>
    </row>
    <row r="32" spans="1:3" x14ac:dyDescent="0.2">
      <c r="A32" s="6" t="s">
        <v>187</v>
      </c>
      <c r="B32" s="7">
        <v>-2406.16</v>
      </c>
      <c r="C32" s="15" t="s">
        <v>283</v>
      </c>
    </row>
    <row r="33" spans="1:3" x14ac:dyDescent="0.2">
      <c r="A33" s="6" t="s">
        <v>65</v>
      </c>
      <c r="B33" s="7">
        <v>-1680.73</v>
      </c>
      <c r="C33" s="15" t="s">
        <v>283</v>
      </c>
    </row>
    <row r="34" spans="1:3" x14ac:dyDescent="0.2">
      <c r="A34" s="6" t="s">
        <v>5</v>
      </c>
      <c r="B34" s="7">
        <v>-1549.74</v>
      </c>
      <c r="C34" s="15" t="s">
        <v>283</v>
      </c>
    </row>
    <row r="35" spans="1:3" x14ac:dyDescent="0.2">
      <c r="A35" s="6" t="s">
        <v>201</v>
      </c>
      <c r="B35" s="7">
        <v>-1545.46</v>
      </c>
      <c r="C35" s="15" t="s">
        <v>283</v>
      </c>
    </row>
    <row r="36" spans="1:3" x14ac:dyDescent="0.2">
      <c r="A36" s="6" t="s">
        <v>54</v>
      </c>
      <c r="B36" s="7">
        <v>-1481.35</v>
      </c>
      <c r="C36" s="15" t="s">
        <v>283</v>
      </c>
    </row>
    <row r="37" spans="1:3" x14ac:dyDescent="0.2">
      <c r="A37" s="6" t="s">
        <v>203</v>
      </c>
      <c r="B37" s="7">
        <v>-1464.6</v>
      </c>
      <c r="C37" s="15" t="s">
        <v>283</v>
      </c>
    </row>
    <row r="38" spans="1:3" x14ac:dyDescent="0.2">
      <c r="A38" s="6" t="s">
        <v>124</v>
      </c>
      <c r="B38" s="7">
        <v>-1448.18</v>
      </c>
      <c r="C38" s="15" t="s">
        <v>283</v>
      </c>
    </row>
    <row r="39" spans="1:3" x14ac:dyDescent="0.2">
      <c r="A39" s="6" t="s">
        <v>20</v>
      </c>
      <c r="B39" s="7">
        <v>-1347.5</v>
      </c>
      <c r="C39" s="15" t="s">
        <v>283</v>
      </c>
    </row>
    <row r="40" spans="1:3" x14ac:dyDescent="0.2">
      <c r="A40" s="6" t="s">
        <v>62</v>
      </c>
      <c r="B40" s="7">
        <v>-1320</v>
      </c>
      <c r="C40" s="15" t="s">
        <v>283</v>
      </c>
    </row>
    <row r="41" spans="1:3" x14ac:dyDescent="0.2">
      <c r="A41" s="6" t="s">
        <v>80</v>
      </c>
      <c r="B41" s="7">
        <v>-1011.65</v>
      </c>
      <c r="C41" s="15" t="s">
        <v>283</v>
      </c>
    </row>
    <row r="42" spans="1:3" x14ac:dyDescent="0.2">
      <c r="A42" s="6" t="s">
        <v>66</v>
      </c>
      <c r="B42" s="7">
        <v>-919</v>
      </c>
      <c r="C42" s="15" t="s">
        <v>283</v>
      </c>
    </row>
    <row r="43" spans="1:3" x14ac:dyDescent="0.2">
      <c r="A43" s="6" t="s">
        <v>265</v>
      </c>
      <c r="B43" s="7">
        <v>-840</v>
      </c>
      <c r="C43" s="15" t="s">
        <v>283</v>
      </c>
    </row>
    <row r="44" spans="1:3" x14ac:dyDescent="0.2">
      <c r="A44" s="6" t="s">
        <v>123</v>
      </c>
      <c r="B44" s="7">
        <v>-836.75</v>
      </c>
      <c r="C44" s="15" t="s">
        <v>283</v>
      </c>
    </row>
    <row r="45" spans="1:3" x14ac:dyDescent="0.2">
      <c r="A45" s="6" t="s">
        <v>60</v>
      </c>
      <c r="B45" s="7">
        <v>-821.72</v>
      </c>
      <c r="C45" s="15" t="s">
        <v>283</v>
      </c>
    </row>
    <row r="46" spans="1:3" x14ac:dyDescent="0.2">
      <c r="A46" s="6" t="s">
        <v>224</v>
      </c>
      <c r="B46" s="7">
        <v>-760.73</v>
      </c>
      <c r="C46" s="15" t="s">
        <v>283</v>
      </c>
    </row>
    <row r="47" spans="1:3" x14ac:dyDescent="0.2">
      <c r="A47" s="6" t="s">
        <v>48</v>
      </c>
      <c r="B47" s="7">
        <v>-720.73</v>
      </c>
      <c r="C47" s="15" t="s">
        <v>283</v>
      </c>
    </row>
    <row r="48" spans="1:3" x14ac:dyDescent="0.2">
      <c r="A48" s="6" t="s">
        <v>210</v>
      </c>
      <c r="B48" s="7">
        <v>-687.26</v>
      </c>
      <c r="C48" s="15" t="s">
        <v>283</v>
      </c>
    </row>
    <row r="49" spans="1:3" x14ac:dyDescent="0.2">
      <c r="A49" s="6" t="s">
        <v>273</v>
      </c>
      <c r="B49" s="7">
        <v>-684.87</v>
      </c>
      <c r="C49" s="15" t="s">
        <v>283</v>
      </c>
    </row>
    <row r="50" spans="1:3" x14ac:dyDescent="0.2">
      <c r="A50" s="6" t="s">
        <v>168</v>
      </c>
      <c r="B50" s="7">
        <v>-653</v>
      </c>
      <c r="C50" s="15" t="s">
        <v>283</v>
      </c>
    </row>
    <row r="51" spans="1:3" x14ac:dyDescent="0.2">
      <c r="A51" s="6" t="s">
        <v>49</v>
      </c>
      <c r="B51" s="7">
        <v>-622.4</v>
      </c>
      <c r="C51" s="15" t="s">
        <v>283</v>
      </c>
    </row>
    <row r="52" spans="1:3" x14ac:dyDescent="0.2">
      <c r="A52" s="6" t="s">
        <v>167</v>
      </c>
      <c r="B52" s="7">
        <v>-585.54999999999995</v>
      </c>
      <c r="C52" s="15" t="s">
        <v>283</v>
      </c>
    </row>
    <row r="53" spans="1:3" x14ac:dyDescent="0.2">
      <c r="A53" s="6" t="s">
        <v>227</v>
      </c>
      <c r="B53" s="7">
        <v>-580</v>
      </c>
      <c r="C53" s="15" t="s">
        <v>283</v>
      </c>
    </row>
    <row r="54" spans="1:3" x14ac:dyDescent="0.2">
      <c r="A54" s="6" t="s">
        <v>131</v>
      </c>
      <c r="B54" s="7">
        <v>-565.45000000000005</v>
      </c>
      <c r="C54" s="15" t="s">
        <v>283</v>
      </c>
    </row>
    <row r="55" spans="1:3" x14ac:dyDescent="0.2">
      <c r="A55" s="6" t="s">
        <v>44</v>
      </c>
      <c r="B55" s="7">
        <v>-534.54</v>
      </c>
      <c r="C55" s="15" t="s">
        <v>283</v>
      </c>
    </row>
    <row r="56" spans="1:3" x14ac:dyDescent="0.2">
      <c r="A56" s="6" t="s">
        <v>193</v>
      </c>
      <c r="B56" s="7">
        <v>-468.05</v>
      </c>
      <c r="C56" s="15" t="s">
        <v>283</v>
      </c>
    </row>
    <row r="57" spans="1:3" x14ac:dyDescent="0.2">
      <c r="A57" s="6" t="s">
        <v>143</v>
      </c>
      <c r="B57" s="7">
        <v>-457.03</v>
      </c>
      <c r="C57" s="15" t="s">
        <v>283</v>
      </c>
    </row>
    <row r="58" spans="1:3" x14ac:dyDescent="0.2">
      <c r="A58" s="6" t="s">
        <v>176</v>
      </c>
      <c r="B58" s="7">
        <v>-425</v>
      </c>
      <c r="C58" s="15" t="s">
        <v>283</v>
      </c>
    </row>
    <row r="59" spans="1:3" x14ac:dyDescent="0.2">
      <c r="A59" s="6" t="s">
        <v>102</v>
      </c>
      <c r="B59" s="7">
        <v>-410</v>
      </c>
      <c r="C59" s="15" t="s">
        <v>283</v>
      </c>
    </row>
    <row r="60" spans="1:3" x14ac:dyDescent="0.2">
      <c r="A60" s="6" t="s">
        <v>258</v>
      </c>
      <c r="B60" s="7">
        <v>-408.02</v>
      </c>
      <c r="C60" s="15" t="s">
        <v>283</v>
      </c>
    </row>
    <row r="61" spans="1:3" x14ac:dyDescent="0.2">
      <c r="A61" s="6" t="s">
        <v>208</v>
      </c>
      <c r="B61" s="7">
        <v>-380</v>
      </c>
      <c r="C61" s="15" t="s">
        <v>283</v>
      </c>
    </row>
    <row r="62" spans="1:3" x14ac:dyDescent="0.2">
      <c r="A62" s="6" t="s">
        <v>130</v>
      </c>
      <c r="B62" s="7">
        <v>-361.82</v>
      </c>
      <c r="C62" s="15" t="s">
        <v>283</v>
      </c>
    </row>
    <row r="63" spans="1:3" x14ac:dyDescent="0.2">
      <c r="A63" s="6" t="s">
        <v>37</v>
      </c>
      <c r="B63" s="7">
        <v>-350.2</v>
      </c>
      <c r="C63" s="15" t="s">
        <v>283</v>
      </c>
    </row>
    <row r="64" spans="1:3" x14ac:dyDescent="0.2">
      <c r="A64" s="6" t="s">
        <v>160</v>
      </c>
      <c r="B64" s="7">
        <v>-324.64</v>
      </c>
      <c r="C64" s="15" t="s">
        <v>283</v>
      </c>
    </row>
    <row r="65" spans="1:3" x14ac:dyDescent="0.2">
      <c r="A65" s="6" t="s">
        <v>12</v>
      </c>
      <c r="B65" s="7">
        <v>-323.88</v>
      </c>
      <c r="C65" s="15" t="s">
        <v>283</v>
      </c>
    </row>
    <row r="66" spans="1:3" x14ac:dyDescent="0.2">
      <c r="A66" s="6" t="s">
        <v>19</v>
      </c>
      <c r="B66" s="7">
        <v>-321</v>
      </c>
      <c r="C66" s="15" t="s">
        <v>283</v>
      </c>
    </row>
    <row r="67" spans="1:3" x14ac:dyDescent="0.2">
      <c r="A67" s="6" t="s">
        <v>132</v>
      </c>
      <c r="B67" s="7">
        <v>-301</v>
      </c>
      <c r="C67" s="15" t="s">
        <v>283</v>
      </c>
    </row>
    <row r="68" spans="1:3" x14ac:dyDescent="0.2">
      <c r="A68" s="6" t="s">
        <v>73</v>
      </c>
      <c r="B68" s="7">
        <v>-291.85000000000002</v>
      </c>
      <c r="C68" s="15" t="s">
        <v>283</v>
      </c>
    </row>
    <row r="69" spans="1:3" x14ac:dyDescent="0.2">
      <c r="A69" s="6" t="s">
        <v>163</v>
      </c>
      <c r="B69" s="7">
        <v>-285</v>
      </c>
      <c r="C69" s="15" t="s">
        <v>283</v>
      </c>
    </row>
    <row r="70" spans="1:3" x14ac:dyDescent="0.2">
      <c r="A70" s="6" t="s">
        <v>104</v>
      </c>
      <c r="B70" s="7">
        <v>-274.45</v>
      </c>
      <c r="C70" s="15" t="s">
        <v>283</v>
      </c>
    </row>
    <row r="71" spans="1:3" x14ac:dyDescent="0.2">
      <c r="A71" s="6" t="s">
        <v>159</v>
      </c>
      <c r="B71" s="7">
        <v>-265.2</v>
      </c>
      <c r="C71" s="15" t="s">
        <v>283</v>
      </c>
    </row>
    <row r="72" spans="1:3" x14ac:dyDescent="0.2">
      <c r="A72" s="6" t="s">
        <v>126</v>
      </c>
      <c r="B72" s="7">
        <v>-261</v>
      </c>
      <c r="C72" s="15" t="s">
        <v>283</v>
      </c>
    </row>
    <row r="73" spans="1:3" x14ac:dyDescent="0.2">
      <c r="A73" s="6" t="s">
        <v>153</v>
      </c>
      <c r="B73" s="7">
        <v>-259.74</v>
      </c>
      <c r="C73" s="15" t="s">
        <v>283</v>
      </c>
    </row>
    <row r="74" spans="1:3" x14ac:dyDescent="0.2">
      <c r="A74" s="6" t="s">
        <v>47</v>
      </c>
      <c r="B74" s="7">
        <v>-250</v>
      </c>
      <c r="C74" s="15" t="s">
        <v>283</v>
      </c>
    </row>
    <row r="75" spans="1:3" x14ac:dyDescent="0.2">
      <c r="A75" s="6" t="s">
        <v>215</v>
      </c>
      <c r="B75" s="7">
        <v>-239.34</v>
      </c>
      <c r="C75" s="15" t="s">
        <v>283</v>
      </c>
    </row>
    <row r="76" spans="1:3" x14ac:dyDescent="0.2">
      <c r="A76" s="6" t="s">
        <v>272</v>
      </c>
      <c r="B76" s="7">
        <v>-233.76</v>
      </c>
      <c r="C76" s="15" t="s">
        <v>283</v>
      </c>
    </row>
    <row r="77" spans="1:3" x14ac:dyDescent="0.2">
      <c r="A77" s="6" t="s">
        <v>33</v>
      </c>
      <c r="B77" s="7">
        <v>-221.36</v>
      </c>
      <c r="C77" s="15" t="s">
        <v>283</v>
      </c>
    </row>
    <row r="78" spans="1:3" x14ac:dyDescent="0.2">
      <c r="A78" s="6" t="s">
        <v>211</v>
      </c>
      <c r="B78" s="7">
        <v>-219.12</v>
      </c>
      <c r="C78" s="15" t="s">
        <v>283</v>
      </c>
    </row>
    <row r="79" spans="1:3" x14ac:dyDescent="0.2">
      <c r="A79" s="6" t="s">
        <v>119</v>
      </c>
      <c r="B79" s="7">
        <v>-218.16</v>
      </c>
      <c r="C79" s="15" t="s">
        <v>283</v>
      </c>
    </row>
    <row r="80" spans="1:3" x14ac:dyDescent="0.2">
      <c r="A80" s="6" t="s">
        <v>52</v>
      </c>
      <c r="B80" s="7">
        <v>-187.51</v>
      </c>
      <c r="C80" s="15" t="s">
        <v>283</v>
      </c>
    </row>
    <row r="81" spans="1:3" x14ac:dyDescent="0.2">
      <c r="A81" s="6" t="s">
        <v>225</v>
      </c>
      <c r="B81" s="7">
        <v>-184.31</v>
      </c>
      <c r="C81" s="15" t="s">
        <v>283</v>
      </c>
    </row>
    <row r="82" spans="1:3" x14ac:dyDescent="0.2">
      <c r="A82" s="6" t="s">
        <v>72</v>
      </c>
      <c r="B82" s="7">
        <v>-180.91</v>
      </c>
      <c r="C82" s="15" t="s">
        <v>283</v>
      </c>
    </row>
    <row r="83" spans="1:3" x14ac:dyDescent="0.2">
      <c r="A83" s="6" t="s">
        <v>249</v>
      </c>
      <c r="B83" s="7">
        <v>-175.1</v>
      </c>
      <c r="C83" s="15" t="s">
        <v>283</v>
      </c>
    </row>
    <row r="84" spans="1:3" x14ac:dyDescent="0.2">
      <c r="A84" s="6" t="s">
        <v>270</v>
      </c>
      <c r="B84" s="7">
        <v>-167.94</v>
      </c>
      <c r="C84" s="15" t="s">
        <v>283</v>
      </c>
    </row>
    <row r="85" spans="1:3" x14ac:dyDescent="0.2">
      <c r="A85" s="6" t="s">
        <v>22</v>
      </c>
      <c r="B85" s="7">
        <v>-142.96</v>
      </c>
      <c r="C85" s="15" t="s">
        <v>283</v>
      </c>
    </row>
    <row r="86" spans="1:3" x14ac:dyDescent="0.2">
      <c r="A86" s="6" t="s">
        <v>269</v>
      </c>
      <c r="B86" s="7">
        <v>-135</v>
      </c>
      <c r="C86" s="15" t="s">
        <v>283</v>
      </c>
    </row>
    <row r="87" spans="1:3" x14ac:dyDescent="0.2">
      <c r="A87" s="6" t="s">
        <v>181</v>
      </c>
      <c r="B87" s="7">
        <v>-130</v>
      </c>
      <c r="C87" s="15" t="s">
        <v>283</v>
      </c>
    </row>
    <row r="88" spans="1:3" x14ac:dyDescent="0.2">
      <c r="A88" s="6" t="s">
        <v>182</v>
      </c>
      <c r="B88" s="7">
        <v>-130</v>
      </c>
      <c r="C88" s="15" t="s">
        <v>283</v>
      </c>
    </row>
    <row r="89" spans="1:3" x14ac:dyDescent="0.2">
      <c r="A89" s="6" t="s">
        <v>268</v>
      </c>
      <c r="B89" s="7">
        <v>-127.28</v>
      </c>
      <c r="C89" s="15" t="s">
        <v>283</v>
      </c>
    </row>
    <row r="90" spans="1:3" x14ac:dyDescent="0.2">
      <c r="A90" s="6" t="s">
        <v>63</v>
      </c>
      <c r="B90" s="7">
        <v>-125</v>
      </c>
      <c r="C90" s="15" t="s">
        <v>283</v>
      </c>
    </row>
    <row r="91" spans="1:3" x14ac:dyDescent="0.2">
      <c r="A91" s="6" t="s">
        <v>8</v>
      </c>
      <c r="B91" s="7">
        <v>-113.65</v>
      </c>
      <c r="C91" s="15" t="s">
        <v>283</v>
      </c>
    </row>
    <row r="92" spans="1:3" x14ac:dyDescent="0.2">
      <c r="A92" s="6" t="s">
        <v>99</v>
      </c>
      <c r="B92" s="7">
        <v>-100.8</v>
      </c>
      <c r="C92" s="15" t="s">
        <v>283</v>
      </c>
    </row>
    <row r="93" spans="1:3" x14ac:dyDescent="0.2">
      <c r="A93" s="6" t="s">
        <v>230</v>
      </c>
      <c r="B93" s="7">
        <v>-100.27</v>
      </c>
      <c r="C93" s="15" t="s">
        <v>283</v>
      </c>
    </row>
    <row r="94" spans="1:3" x14ac:dyDescent="0.2">
      <c r="A94" s="6" t="s">
        <v>178</v>
      </c>
      <c r="B94" s="7">
        <v>-99.21</v>
      </c>
      <c r="C94" s="15" t="s">
        <v>283</v>
      </c>
    </row>
    <row r="95" spans="1:3" x14ac:dyDescent="0.2">
      <c r="A95" s="6" t="s">
        <v>61</v>
      </c>
      <c r="B95" s="7">
        <v>-96.56</v>
      </c>
      <c r="C95" s="15" t="s">
        <v>283</v>
      </c>
    </row>
    <row r="96" spans="1:3" x14ac:dyDescent="0.2">
      <c r="A96" s="6" t="s">
        <v>24</v>
      </c>
      <c r="B96" s="7">
        <v>-92.14</v>
      </c>
      <c r="C96" s="15" t="s">
        <v>283</v>
      </c>
    </row>
    <row r="97" spans="1:3" x14ac:dyDescent="0.2">
      <c r="A97" s="6" t="s">
        <v>139</v>
      </c>
      <c r="B97" s="7">
        <v>-85.91</v>
      </c>
      <c r="C97" s="15" t="s">
        <v>283</v>
      </c>
    </row>
    <row r="98" spans="1:3" x14ac:dyDescent="0.2">
      <c r="A98" s="6" t="s">
        <v>196</v>
      </c>
      <c r="B98" s="7">
        <v>-84.09</v>
      </c>
      <c r="C98" s="15" t="s">
        <v>283</v>
      </c>
    </row>
    <row r="99" spans="1:3" x14ac:dyDescent="0.2">
      <c r="A99" s="6" t="s">
        <v>219</v>
      </c>
      <c r="B99" s="7">
        <v>-78.73</v>
      </c>
      <c r="C99" s="15" t="s">
        <v>283</v>
      </c>
    </row>
    <row r="100" spans="1:3" x14ac:dyDescent="0.2">
      <c r="A100" s="6" t="s">
        <v>16</v>
      </c>
      <c r="B100" s="7">
        <v>-78.569999999999993</v>
      </c>
      <c r="C100" s="15" t="s">
        <v>283</v>
      </c>
    </row>
    <row r="101" spans="1:3" x14ac:dyDescent="0.2">
      <c r="A101" s="6" t="s">
        <v>235</v>
      </c>
      <c r="B101" s="7">
        <v>-76</v>
      </c>
      <c r="C101" s="15" t="s">
        <v>283</v>
      </c>
    </row>
    <row r="102" spans="1:3" x14ac:dyDescent="0.2">
      <c r="A102" s="6" t="s">
        <v>174</v>
      </c>
      <c r="B102" s="7">
        <v>-66.05</v>
      </c>
      <c r="C102" s="15" t="s">
        <v>283</v>
      </c>
    </row>
    <row r="103" spans="1:3" x14ac:dyDescent="0.2">
      <c r="A103" s="6" t="s">
        <v>198</v>
      </c>
      <c r="B103" s="7">
        <v>-64.11</v>
      </c>
      <c r="C103" s="15" t="s">
        <v>283</v>
      </c>
    </row>
    <row r="104" spans="1:3" x14ac:dyDescent="0.2">
      <c r="A104" s="6" t="s">
        <v>51</v>
      </c>
      <c r="B104" s="7">
        <v>-57.93</v>
      </c>
      <c r="C104" s="15" t="s">
        <v>283</v>
      </c>
    </row>
    <row r="105" spans="1:3" x14ac:dyDescent="0.2">
      <c r="A105" s="6" t="s">
        <v>135</v>
      </c>
      <c r="B105" s="7">
        <v>-55.36</v>
      </c>
      <c r="C105" s="15" t="s">
        <v>283</v>
      </c>
    </row>
    <row r="106" spans="1:3" x14ac:dyDescent="0.2">
      <c r="A106" s="6" t="s">
        <v>173</v>
      </c>
      <c r="B106" s="7">
        <v>-53.6</v>
      </c>
      <c r="C106" s="15" t="s">
        <v>283</v>
      </c>
    </row>
    <row r="107" spans="1:3" x14ac:dyDescent="0.2">
      <c r="A107" s="6" t="s">
        <v>32</v>
      </c>
      <c r="B107" s="7">
        <v>-51.82</v>
      </c>
      <c r="C107" s="15" t="s">
        <v>283</v>
      </c>
    </row>
    <row r="108" spans="1:3" x14ac:dyDescent="0.2">
      <c r="A108" s="6" t="s">
        <v>192</v>
      </c>
      <c r="B108" s="7">
        <v>-49.9</v>
      </c>
      <c r="C108" s="15" t="s">
        <v>283</v>
      </c>
    </row>
    <row r="109" spans="1:3" x14ac:dyDescent="0.2">
      <c r="A109" s="6" t="s">
        <v>199</v>
      </c>
      <c r="B109" s="7">
        <v>-47.24</v>
      </c>
      <c r="C109" s="15" t="s">
        <v>283</v>
      </c>
    </row>
    <row r="110" spans="1:3" x14ac:dyDescent="0.2">
      <c r="A110" s="6" t="s">
        <v>177</v>
      </c>
      <c r="B110" s="7">
        <v>-45.45</v>
      </c>
      <c r="C110" s="15" t="s">
        <v>283</v>
      </c>
    </row>
    <row r="111" spans="1:3" x14ac:dyDescent="0.2">
      <c r="A111" s="6" t="s">
        <v>259</v>
      </c>
      <c r="B111" s="7">
        <v>-44.62</v>
      </c>
      <c r="C111" s="15" t="s">
        <v>283</v>
      </c>
    </row>
    <row r="112" spans="1:3" x14ac:dyDescent="0.2">
      <c r="A112" s="6" t="s">
        <v>255</v>
      </c>
      <c r="B112" s="7">
        <v>-41.73</v>
      </c>
      <c r="C112" s="15" t="s">
        <v>283</v>
      </c>
    </row>
    <row r="113" spans="1:3" x14ac:dyDescent="0.2">
      <c r="A113" s="6" t="s">
        <v>252</v>
      </c>
      <c r="B113" s="7">
        <v>-41.53</v>
      </c>
      <c r="C113" s="15" t="s">
        <v>283</v>
      </c>
    </row>
    <row r="114" spans="1:3" x14ac:dyDescent="0.2">
      <c r="A114" s="6" t="s">
        <v>97</v>
      </c>
      <c r="B114" s="7">
        <v>-40.630000000000003</v>
      </c>
      <c r="C114" s="15" t="s">
        <v>283</v>
      </c>
    </row>
    <row r="115" spans="1:3" x14ac:dyDescent="0.2">
      <c r="A115" s="6" t="s">
        <v>207</v>
      </c>
      <c r="B115" s="7">
        <v>-24.79</v>
      </c>
      <c r="C115" s="15" t="s">
        <v>283</v>
      </c>
    </row>
    <row r="116" spans="1:3" x14ac:dyDescent="0.2">
      <c r="A116" s="6" t="s">
        <v>75</v>
      </c>
      <c r="B116" s="7">
        <v>-22.98</v>
      </c>
      <c r="C116" s="15" t="s">
        <v>283</v>
      </c>
    </row>
    <row r="117" spans="1:3" x14ac:dyDescent="0.2">
      <c r="A117" s="6" t="s">
        <v>69</v>
      </c>
      <c r="B117" s="7">
        <v>-22.56</v>
      </c>
      <c r="C117" s="15" t="s">
        <v>283</v>
      </c>
    </row>
    <row r="118" spans="1:3" x14ac:dyDescent="0.2">
      <c r="A118" s="6" t="s">
        <v>194</v>
      </c>
      <c r="B118" s="7">
        <v>-21.18</v>
      </c>
      <c r="C118" s="15" t="s">
        <v>283</v>
      </c>
    </row>
    <row r="119" spans="1:3" x14ac:dyDescent="0.2">
      <c r="A119" s="6" t="s">
        <v>74</v>
      </c>
      <c r="B119" s="7">
        <v>-20.99</v>
      </c>
      <c r="C119" s="15" t="s">
        <v>283</v>
      </c>
    </row>
    <row r="120" spans="1:3" x14ac:dyDescent="0.2">
      <c r="A120" s="6" t="s">
        <v>239</v>
      </c>
      <c r="B120" s="7">
        <v>-20.059999999999999</v>
      </c>
      <c r="C120" s="15" t="s">
        <v>283</v>
      </c>
    </row>
    <row r="121" spans="1:3" x14ac:dyDescent="0.2">
      <c r="A121" s="6" t="s">
        <v>50</v>
      </c>
      <c r="B121" s="7">
        <v>-15.45</v>
      </c>
      <c r="C121" s="15" t="s">
        <v>283</v>
      </c>
    </row>
    <row r="122" spans="1:3" x14ac:dyDescent="0.2">
      <c r="A122" s="6" t="s">
        <v>13</v>
      </c>
      <c r="B122" s="7">
        <v>-13.71</v>
      </c>
      <c r="C122" s="15" t="s">
        <v>283</v>
      </c>
    </row>
    <row r="123" spans="1:3" x14ac:dyDescent="0.2">
      <c r="A123" s="6" t="s">
        <v>18</v>
      </c>
      <c r="B123" s="7">
        <v>-13</v>
      </c>
      <c r="C123" s="15" t="s">
        <v>283</v>
      </c>
    </row>
    <row r="124" spans="1:3" x14ac:dyDescent="0.2">
      <c r="A124" s="6" t="s">
        <v>25</v>
      </c>
      <c r="B124" s="7">
        <v>-10.08</v>
      </c>
      <c r="C124" s="15" t="s">
        <v>283</v>
      </c>
    </row>
    <row r="125" spans="1:3" x14ac:dyDescent="0.2">
      <c r="A125" s="6" t="s">
        <v>216</v>
      </c>
      <c r="B125" s="7">
        <v>-10</v>
      </c>
      <c r="C125" s="15" t="s">
        <v>283</v>
      </c>
    </row>
    <row r="126" spans="1:3" x14ac:dyDescent="0.2">
      <c r="A126" s="6" t="s">
        <v>218</v>
      </c>
      <c r="B126" s="7">
        <v>-9.73</v>
      </c>
      <c r="C126" s="15" t="s">
        <v>283</v>
      </c>
    </row>
    <row r="127" spans="1:3" x14ac:dyDescent="0.2">
      <c r="A127" s="6" t="s">
        <v>59</v>
      </c>
      <c r="B127" s="7">
        <v>-9.09</v>
      </c>
      <c r="C127" s="15" t="s">
        <v>283</v>
      </c>
    </row>
    <row r="128" spans="1:3" x14ac:dyDescent="0.2">
      <c r="A128" s="6" t="s">
        <v>14</v>
      </c>
      <c r="B128" s="7">
        <v>-9.08</v>
      </c>
      <c r="C128" s="15" t="s">
        <v>283</v>
      </c>
    </row>
    <row r="129" spans="1:3" x14ac:dyDescent="0.2">
      <c r="A129" s="6" t="s">
        <v>46</v>
      </c>
      <c r="B129" s="7">
        <v>-8.36</v>
      </c>
      <c r="C129" s="15" t="s">
        <v>283</v>
      </c>
    </row>
    <row r="130" spans="1:3" x14ac:dyDescent="0.2">
      <c r="A130" s="6" t="s">
        <v>162</v>
      </c>
      <c r="B130" s="7">
        <v>-8.18</v>
      </c>
      <c r="C130" s="15" t="s">
        <v>283</v>
      </c>
    </row>
    <row r="131" spans="1:3" x14ac:dyDescent="0.2">
      <c r="A131" s="6" t="s">
        <v>200</v>
      </c>
      <c r="B131" s="7">
        <v>-7</v>
      </c>
      <c r="C131" s="15" t="s">
        <v>283</v>
      </c>
    </row>
    <row r="132" spans="1:3" x14ac:dyDescent="0.2">
      <c r="A132" s="6" t="s">
        <v>106</v>
      </c>
      <c r="B132" s="7">
        <v>-4.2300000000000004</v>
      </c>
      <c r="C132" s="15" t="s">
        <v>283</v>
      </c>
    </row>
    <row r="133" spans="1:3" x14ac:dyDescent="0.2">
      <c r="A133" s="6" t="s">
        <v>26</v>
      </c>
      <c r="B133" s="7">
        <v>-3.93</v>
      </c>
      <c r="C133" s="15" t="s">
        <v>283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CB8AA-7784-42A4-B942-0DBA7C32BC7B}">
  <dimension ref="A1"/>
  <sheetViews>
    <sheetView workbookViewId="0">
      <selection activeCell="A2" sqref="A2"/>
    </sheetView>
  </sheetViews>
  <sheetFormatPr defaultRowHeight="11.4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Expenses by Contact All</vt:lpstr>
      <vt:lpstr>Vendors</vt:lpstr>
      <vt:lpstr>Others</vt:lpstr>
      <vt:lpstr>United Org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dougsacer</dc:creator>
  <cp:lastModifiedBy>dougsacer</cp:lastModifiedBy>
  <dcterms:created xsi:type="dcterms:W3CDTF">2025-11-01T19:45:26Z</dcterms:created>
  <dcterms:modified xsi:type="dcterms:W3CDTF">2025-11-04T01:10:50Z</dcterms:modified>
</cp:coreProperties>
</file>